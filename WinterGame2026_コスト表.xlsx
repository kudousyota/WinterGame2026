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oto\Git\WinterGame2026\"/>
    </mc:Choice>
  </mc:AlternateContent>
  <xr:revisionPtr revIDLastSave="0" documentId="13_ncr:1_{15B8D14A-50B6-4092-90F1-0A5FB005196C}" xr6:coauthVersionLast="47" xr6:coauthVersionMax="47" xr10:uidLastSave="{00000000-0000-0000-0000-000000000000}"/>
  <bookViews>
    <workbookView xWindow="9060" yWindow="0" windowWidth="16095" windowHeight="10170" activeTab="2" xr2:uid="{8B56E59A-6A48-4E9E-98F0-BB372CB837AE}"/>
  </bookViews>
  <sheets>
    <sheet name="集計" sheetId="1" r:id="rId1"/>
    <sheet name="カレンダー" sheetId="4" r:id="rId2"/>
    <sheet name="タスク一覧" sheetId="2" r:id="rId3"/>
    <sheet name="設定" sheetId="3" r:id="rId4"/>
    <sheet name="memo" sheetId="5" r:id="rId5"/>
  </sheets>
  <definedNames>
    <definedName name="_xlnm._FilterDatabase" localSheetId="2" hidden="1">タスク一覧!$A$1:$J$117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1" l="1"/>
  <c r="I7" i="1" s="1"/>
  <c r="F7" i="1"/>
  <c r="E7" i="1"/>
  <c r="D7" i="1"/>
  <c r="C7" i="1"/>
  <c r="B7" i="1"/>
  <c r="G6" i="1"/>
  <c r="I6" i="1" s="1"/>
  <c r="F6" i="1"/>
  <c r="E6" i="1"/>
  <c r="D6" i="1"/>
  <c r="C6" i="1"/>
  <c r="B6" i="1"/>
  <c r="G5" i="1"/>
  <c r="I5" i="1" s="1"/>
  <c r="F5" i="1"/>
  <c r="E5" i="1"/>
  <c r="D5" i="1"/>
  <c r="C5" i="1"/>
  <c r="B5" i="1"/>
  <c r="G4" i="1"/>
  <c r="I4" i="1" s="1"/>
  <c r="F4" i="1"/>
  <c r="E4" i="1"/>
  <c r="D4" i="1"/>
  <c r="C4" i="1"/>
  <c r="B4" i="1"/>
  <c r="I117" i="2"/>
  <c r="F7" i="4"/>
  <c r="F6" i="4"/>
  <c r="F5" i="4"/>
  <c r="G5" i="4" s="1"/>
  <c r="F4" i="4"/>
  <c r="H117" i="2"/>
  <c r="D7" i="4"/>
  <c r="E7" i="4" s="1"/>
  <c r="D6" i="4"/>
  <c r="E6" i="4" s="1"/>
  <c r="D5" i="4"/>
  <c r="E5" i="4" s="1"/>
  <c r="D4" i="4"/>
  <c r="E4" i="4" s="1"/>
  <c r="B8" i="3"/>
  <c r="B7" i="3"/>
  <c r="H7" i="1" l="1"/>
  <c r="H6" i="1"/>
  <c r="H5" i="1"/>
  <c r="G8" i="1"/>
  <c r="I8" i="1"/>
  <c r="F8" i="1"/>
  <c r="D8" i="1"/>
  <c r="C8" i="1"/>
  <c r="B8" i="1"/>
  <c r="E8" i="1"/>
  <c r="H4" i="1"/>
  <c r="G7" i="4"/>
  <c r="G4" i="4"/>
  <c r="G6" i="4"/>
  <c r="H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tora o</author>
  </authors>
  <commentList>
    <comment ref="H1" authorId="0" shapeId="0" xr:uid="{512A8292-1536-4679-B5C9-1A8F54961C46}">
      <text>
        <r>
          <rPr>
            <b/>
            <sz val="9"/>
            <color indexed="81"/>
            <rFont val="MS P ゴシック"/>
            <family val="3"/>
            <charset val="128"/>
          </rPr>
          <t>黄色 = 見積もり未入力（コスト0）</t>
        </r>
      </text>
    </comment>
  </commentList>
</comments>
</file>

<file path=xl/sharedStrings.xml><?xml version="1.0" encoding="utf-8"?>
<sst xmlns="http://schemas.openxmlformats.org/spreadsheetml/2006/main" count="800" uniqueCount="259">
  <si>
    <t>WinterGame2026 設定</t>
  </si>
  <si>
    <t>開始日</t>
  </si>
  <si>
    <t>締切</t>
  </si>
  <si>
    <t>1コストあたり時間</t>
  </si>
  <si>
    <t>1日の作業時間</t>
  </si>
  <si>
    <t>残り日数（今日から締切）</t>
  </si>
  <si>
    <t>期間全体の作業可能時間</t>
  </si>
  <si>
    <t>青字のセルは編集できます。値は WinterGame2026.json（board-planner）から取り込んだものです。</t>
  </si>
  <si>
    <t>分類1</t>
  </si>
  <si>
    <t>分類2</t>
  </si>
  <si>
    <t>分類3</t>
  </si>
  <si>
    <t>タスク</t>
  </si>
  <si>
    <t>版</t>
  </si>
  <si>
    <t>優先度</t>
  </si>
  <si>
    <t>状態</t>
  </si>
  <si>
    <t>時間</t>
  </si>
  <si>
    <t>メモ</t>
  </si>
  <si>
    <t>プレイヤー</t>
  </si>
  <si>
    <t>移動</t>
  </si>
  <si>
    <t>プロト</t>
  </si>
  <si>
    <t>A</t>
  </si>
  <si>
    <t>未着手</t>
  </si>
  <si>
    <t>ジャンプ</t>
  </si>
  <si>
    <t>攻撃</t>
  </si>
  <si>
    <t>コンボ</t>
  </si>
  <si>
    <t>空中弱攻撃</t>
  </si>
  <si>
    <t>アルファ</t>
  </si>
  <si>
    <t>かかと落とし</t>
  </si>
  <si>
    <t>でかい手</t>
  </si>
  <si>
    <t>銃</t>
  </si>
  <si>
    <t>回避</t>
  </si>
  <si>
    <t>ジャスト回避</t>
  </si>
  <si>
    <t>ウィッチタイム</t>
  </si>
  <si>
    <t>マップ</t>
  </si>
  <si>
    <t>チュートリアル</t>
  </si>
  <si>
    <t>素材探し</t>
  </si>
  <si>
    <t>モデル</t>
  </si>
  <si>
    <t>ベータ</t>
  </si>
  <si>
    <t>音</t>
  </si>
  <si>
    <t>エフェクト</t>
  </si>
  <si>
    <t>UI</t>
  </si>
  <si>
    <t>カメラ</t>
  </si>
  <si>
    <t>合計</t>
  </si>
  <si>
    <t>版ごとのコスト集計</t>
  </si>
  <si>
    <t>タスク数</t>
  </si>
  <si>
    <t>未見積</t>
  </si>
  <si>
    <t>日数</t>
  </si>
  <si>
    <t>進捗率</t>
  </si>
  <si>
    <t>マスタ</t>
  </si>
  <si>
    <t>ボス</t>
  </si>
  <si>
    <t>Enemy</t>
  </si>
  <si>
    <t>エイリアン</t>
  </si>
  <si>
    <t>当たり判定</t>
  </si>
  <si>
    <t>本編</t>
  </si>
  <si>
    <t>開発カレンダー</t>
  </si>
  <si>
    <t>開始</t>
  </si>
  <si>
    <t>終了</t>
  </si>
  <si>
    <t>作業可能時間</t>
  </si>
  <si>
    <t>見積時間</t>
  </si>
  <si>
    <t>余裕</t>
  </si>
  <si>
    <t>青字の開始・終了日を変えると、下のカレンダーの色も自動で変わります。</t>
  </si>
  <si>
    <t>作業可能時間 = 日数 × 1日の作業時間（設定シート）。土日も作業日として数えています。</t>
  </si>
  <si>
    <t>2026 年 10 月</t>
  </si>
  <si>
    <t>日</t>
  </si>
  <si>
    <t>月</t>
  </si>
  <si>
    <t>火</t>
  </si>
  <si>
    <t>水</t>
  </si>
  <si>
    <t>木</t>
  </si>
  <si>
    <t>金</t>
  </si>
  <si>
    <t>土</t>
  </si>
  <si>
    <t>2026 年 11 月</t>
  </si>
  <si>
    <t>2026 年 12 月</t>
  </si>
  <si>
    <t>色なし = どの版の期間にも入っていない日</t>
  </si>
  <si>
    <t>カメラ基準の歩き・走り</t>
  </si>
  <si>
    <t>旋回・加速・減速</t>
  </si>
  <si>
    <t>通常ジャンプ</t>
  </si>
  <si>
    <t>2段ジャンプ</t>
  </si>
  <si>
    <t>落下・着地硬直</t>
  </si>
  <si>
    <t>地上回避</t>
  </si>
  <si>
    <t>空中回避</t>
  </si>
  <si>
    <t>無敵時間・連続回避の制限</t>
  </si>
  <si>
    <t>判定の時間</t>
  </si>
  <si>
    <t>成功でウィッチタイム発動</t>
  </si>
  <si>
    <t>被弾</t>
  </si>
  <si>
    <t>怯み・吹っ飛び・起き上がり</t>
  </si>
  <si>
    <t>被弾後の無敵時間</t>
  </si>
  <si>
    <t>死亡</t>
  </si>
  <si>
    <t>死亡モーション</t>
  </si>
  <si>
    <t>ゲームオーバーへ移る</t>
  </si>
  <si>
    <t>ロックオン</t>
  </si>
  <si>
    <t>対象の選び方</t>
  </si>
  <si>
    <t>切り替え・解除</t>
  </si>
  <si>
    <t>ロックオン中の移動</t>
  </si>
  <si>
    <t>ステート管理</t>
  </si>
  <si>
    <t>ステート切り替えの整理</t>
  </si>
  <si>
    <t>入力</t>
  </si>
  <si>
    <t>先行入力の受付</t>
  </si>
  <si>
    <t>入力の受付時間</t>
  </si>
  <si>
    <t>攻撃の流れ</t>
  </si>
  <si>
    <t>キャンセルできるタイミング</t>
  </si>
  <si>
    <t>コンボ途中で止めたときの戻り</t>
  </si>
  <si>
    <t>地上</t>
  </si>
  <si>
    <t>弱連打（3段）</t>
  </si>
  <si>
    <t>強連打（3段）</t>
  </si>
  <si>
    <t>分岐</t>
  </si>
  <si>
    <t>弱強弱など途中から分かれる仕組み</t>
  </si>
  <si>
    <t>空中</t>
  </si>
  <si>
    <t>打ち上げ（敵と一緒に上がる）</t>
  </si>
  <si>
    <t>攻撃中の移動</t>
  </si>
  <si>
    <t>踏み込み</t>
  </si>
  <si>
    <t>近くの敵への吸い付き</t>
  </si>
  <si>
    <t>攻撃データ</t>
  </si>
  <si>
    <t>AttackTableに全技を登録</t>
  </si>
  <si>
    <t>通常射撃・連射</t>
  </si>
  <si>
    <t>攻撃中・空中で撃つ</t>
  </si>
  <si>
    <t>発生タイミング・当たり判定</t>
  </si>
  <si>
    <t>演出</t>
  </si>
  <si>
    <t>敵・弾・エフェクトだけスロー</t>
  </si>
  <si>
    <t>プレイヤーは通常の速さ</t>
  </si>
  <si>
    <t>継続時間・終わり方</t>
  </si>
  <si>
    <t>画面の色・開始演出</t>
  </si>
  <si>
    <t>アニメのフレームに合わせて出し消し</t>
  </si>
  <si>
    <t>多段ヒット防止</t>
  </si>
  <si>
    <t>キャラごとの形と大きさ</t>
  </si>
  <si>
    <t>押し合い</t>
  </si>
  <si>
    <t>プレイヤーと敵・敵同士</t>
  </si>
  <si>
    <t>地形</t>
  </si>
  <si>
    <t>壁・床へのめり込み・段差</t>
  </si>
  <si>
    <t>弾</t>
  </si>
  <si>
    <t>通常</t>
  </si>
  <si>
    <t>追従</t>
  </si>
  <si>
    <t>右スティックの手動操作</t>
  </si>
  <si>
    <t>ロックオン中の画角</t>
  </si>
  <si>
    <t>壁へのめり込み対策</t>
  </si>
  <si>
    <t>一時的なカメラ切り替え</t>
  </si>
  <si>
    <t>共通</t>
  </si>
  <si>
    <t>被弾・怯み</t>
  </si>
  <si>
    <t>死亡ステート・消え方</t>
  </si>
  <si>
    <t>Alien.cppにTODOあり</t>
  </si>
  <si>
    <t>攻撃の予兆（光る）</t>
  </si>
  <si>
    <t>ジャスト回避の合図</t>
  </si>
  <si>
    <t>追跡・攻撃の選び方</t>
  </si>
  <si>
    <t>同時に攻撃してくる数の制限</t>
  </si>
  <si>
    <t>ウィッチタイム中のスロー</t>
  </si>
  <si>
    <t>ステータスのデータ読み込み</t>
  </si>
  <si>
    <t>出現・ウェーブ管理</t>
  </si>
  <si>
    <t>攻撃パターン</t>
  </si>
  <si>
    <t>被弾・死亡モーションのつなぎ込み</t>
  </si>
  <si>
    <t>調整</t>
  </si>
  <si>
    <t>雑魚2</t>
  </si>
  <si>
    <t>方向性を決める</t>
  </si>
  <si>
    <t>近距離型。重量型・素早い型・盾持ち型から選ぶ</t>
  </si>
  <si>
    <t>攻撃パターン2種（予兆つき）</t>
  </si>
  <si>
    <t>特別な処理（怯まない・ガードなど）</t>
  </si>
  <si>
    <t>方向性しだい</t>
  </si>
  <si>
    <t>モーションのつなぎ込み</t>
  </si>
  <si>
    <t>攻撃1：近接の薙ぎ払い</t>
  </si>
  <si>
    <t>回避・ジャスト回避で避ける</t>
  </si>
  <si>
    <t>攻撃2：突進</t>
  </si>
  <si>
    <t>横回避で避ける。外れたら大きな隙</t>
  </si>
  <si>
    <t>攻撃3：叩きつけ・衝撃波</t>
  </si>
  <si>
    <t>ジャンプで避ける</t>
  </si>
  <si>
    <t>攻撃の選び方</t>
  </si>
  <si>
    <t>距離で選ぶ・同じ攻撃を続けない</t>
  </si>
  <si>
    <t>フェーズ2</t>
  </si>
  <si>
    <t>HP半分以下で速くなる・連続攻撃</t>
  </si>
  <si>
    <t>怯み・ダウンの扱い</t>
  </si>
  <si>
    <t>基本は怯まず、ダメージをためるとダウン</t>
  </si>
  <si>
    <t>登場・撃破の演出</t>
  </si>
  <si>
    <t>ボス戦用カメラ</t>
  </si>
  <si>
    <t>大きな体に合わせた当たり判定</t>
  </si>
  <si>
    <t>ゲームの流れ</t>
  </si>
  <si>
    <t>シーン管理</t>
  </si>
  <si>
    <t>シーン切り替え・フェード</t>
  </si>
  <si>
    <t>タイトル</t>
  </si>
  <si>
    <t>ゲーム開始・終了</t>
  </si>
  <si>
    <t>ゲームオーバー</t>
  </si>
  <si>
    <t>リトライ・タイトルに戻る</t>
  </si>
  <si>
    <t>リザルト</t>
  </si>
  <si>
    <t>リザルト画面</t>
  </si>
  <si>
    <t>評価の仕様は保留</t>
  </si>
  <si>
    <t>ポーズ</t>
  </si>
  <si>
    <t>再開・リトライ・タイトルに戻る</t>
  </si>
  <si>
    <t>手応え</t>
  </si>
  <si>
    <t>ヒット</t>
  </si>
  <si>
    <t>ヒットストップ</t>
  </si>
  <si>
    <t>カメラシェイク</t>
  </si>
  <si>
    <t>ヒット時の音・エフェクト呼び出し</t>
  </si>
  <si>
    <t>敵ののけぞり演出</t>
  </si>
  <si>
    <t>操作を1つずつ教える流れ</t>
  </si>
  <si>
    <t>移動→攻撃→回避→ジャスト回避</t>
  </si>
  <si>
    <t>案内テキスト</t>
  </si>
  <si>
    <t>次に進む条件</t>
  </si>
  <si>
    <t>敵の配置</t>
  </si>
  <si>
    <t>ウェーブ進行</t>
  </si>
  <si>
    <t>全部倒したら次へ</t>
  </si>
  <si>
    <t>ボス部屋への移動</t>
  </si>
  <si>
    <t>進めない場所の壁</t>
  </si>
  <si>
    <t>チュートリアル→本編の切り替え</t>
  </si>
  <si>
    <t>プレイヤー・雑魚2種・ボス</t>
  </si>
  <si>
    <t>ステージ・背景</t>
  </si>
  <si>
    <t>アニメーション</t>
  </si>
  <si>
    <t>足りないモーション</t>
  </si>
  <si>
    <t>BGM</t>
  </si>
  <si>
    <t>タイトル・チュートリアル・本編・ボス・リザルト</t>
  </si>
  <si>
    <t>効果音</t>
  </si>
  <si>
    <t>攻撃・ヒット・回避・ジャスト回避・銃・UI操作</t>
  </si>
  <si>
    <t>攻撃の軌跡・ヒット・着地・ウィッチタイム・魔法陣・死亡・予兆</t>
  </si>
  <si>
    <t>UI画像</t>
  </si>
  <si>
    <t>HP・コンボ数・スコア・ボスHP・ロックオンマーカー・ボタン表示</t>
  </si>
  <si>
    <t>組み込み</t>
  </si>
  <si>
    <t>HP・ボスHP</t>
  </si>
  <si>
    <t>コンボ数・スコア</t>
  </si>
  <si>
    <t>ロックオンマーカー</t>
  </si>
  <si>
    <t>操作説明</t>
  </si>
  <si>
    <t>各画面のメニュー</t>
  </si>
  <si>
    <t>管理クラス</t>
  </si>
  <si>
    <t>BGM切り替え</t>
  </si>
  <si>
    <t>効果音の配置・音量調整</t>
  </si>
  <si>
    <t>各所への配置</t>
  </si>
  <si>
    <t>仕上げ</t>
  </si>
  <si>
    <t>バランス調整</t>
  </si>
  <si>
    <t>敵の強さ・ダメージ・ウィッチタイムの長さ</t>
  </si>
  <si>
    <t>バグ修正</t>
  </si>
  <si>
    <t>遊んでもらって感想をもらう</t>
  </si>
  <si>
    <t>提出</t>
  </si>
  <si>
    <t>提出用ビルド・動作確認</t>
  </si>
  <si>
    <t>ウィケッドウィーブ</t>
    <phoneticPr fontId="4"/>
  </si>
  <si>
    <t>見積コスト</t>
  </si>
  <si>
    <t>見積コスト</t>
    <phoneticPr fontId="4"/>
  </si>
  <si>
    <t>実コスト</t>
  </si>
  <si>
    <t>実コスト</t>
    <phoneticPr fontId="4"/>
  </si>
  <si>
    <t>完了数</t>
  </si>
  <si>
    <t>完了分の見積</t>
  </si>
  <si>
    <t>見積と実績の差</t>
  </si>
  <si>
    <t>進捗率 = 状態が「完了」のタスクの見積コスト ÷ 見積コスト合計。見積と実績の差 = 完了タスクの実コスト − その見積コスト（プラス = 見積より多くかかった）。</t>
  </si>
  <si>
    <t>完了</t>
    <phoneticPr fontId="4"/>
  </si>
  <si>
    <t>進行中</t>
    <phoneticPr fontId="4"/>
  </si>
  <si>
    <t>デカイ手の演出終わらせる</t>
    <rPh sb="3" eb="4">
      <t>テ</t>
    </rPh>
    <rPh sb="5" eb="7">
      <t>エンシュツ</t>
    </rPh>
    <rPh sb="7" eb="8">
      <t>オ</t>
    </rPh>
    <phoneticPr fontId="4"/>
  </si>
  <si>
    <t>エイリアンの挙動も完成させる</t>
    <rPh sb="6" eb="8">
      <t>キョドウ</t>
    </rPh>
    <rPh sb="9" eb="11">
      <t>カンセイ</t>
    </rPh>
    <phoneticPr fontId="4"/>
  </si>
  <si>
    <t>竜巻を豪鬼の大竜にする</t>
    <rPh sb="0" eb="2">
      <t>タツマキ</t>
    </rPh>
    <rPh sb="3" eb="5">
      <t>ゴウキ</t>
    </rPh>
    <rPh sb="6" eb="8">
      <t>ダイリュウ</t>
    </rPh>
    <phoneticPr fontId="4"/>
  </si>
  <si>
    <t>B</t>
  </si>
  <si>
    <t>C</t>
  </si>
  <si>
    <t>弾とキャラ・弾と地形</t>
    <phoneticPr fontId="4"/>
  </si>
  <si>
    <t>ボス登場・とどめなど</t>
    <phoneticPr fontId="4"/>
  </si>
  <si>
    <t>吹っ飛び・打ち上げ・ダウン・起き上がり</t>
    <phoneticPr fontId="4"/>
  </si>
  <si>
    <t>タイムスケールとか重力を考えると吹っ飛び難しい(打ち上げの空中感はアルファでやる)</t>
    <rPh sb="9" eb="11">
      <t>ジュウリョク</t>
    </rPh>
    <rPh sb="12" eb="13">
      <t>カンガ</t>
    </rPh>
    <rPh sb="16" eb="17">
      <t>フ</t>
    </rPh>
    <rPh sb="18" eb="19">
      <t>ト</t>
    </rPh>
    <rPh sb="20" eb="21">
      <t>ムズカ</t>
    </rPh>
    <rPh sb="24" eb="25">
      <t>ウ</t>
    </rPh>
    <rPh sb="26" eb="27">
      <t>ア</t>
    </rPh>
    <rPh sb="29" eb="31">
      <t>クウチュウ</t>
    </rPh>
    <rPh sb="31" eb="32">
      <t>カン</t>
    </rPh>
    <phoneticPr fontId="4"/>
  </si>
  <si>
    <t>完了</t>
  </si>
  <si>
    <t>エイリアンの仕様</t>
    <rPh sb="6" eb="8">
      <t>シヨウ</t>
    </rPh>
    <phoneticPr fontId="4"/>
  </si>
  <si>
    <t>浮遊している</t>
    <rPh sb="0" eb="2">
      <t>フユウ</t>
    </rPh>
    <phoneticPr fontId="4"/>
  </si>
  <si>
    <t>遠距離攻撃をする(ブレス攻撃)</t>
    <rPh sb="0" eb="3">
      <t>エンキョリ</t>
    </rPh>
    <rPh sb="3" eb="5">
      <t>コウゲキ</t>
    </rPh>
    <rPh sb="12" eb="14">
      <t>コウゲキ</t>
    </rPh>
    <phoneticPr fontId="4"/>
  </si>
  <si>
    <t>踵落としで叩き落せる</t>
    <rPh sb="0" eb="2">
      <t>カカトオ</t>
    </rPh>
    <rPh sb="5" eb="6">
      <t>タタ</t>
    </rPh>
    <rPh sb="7" eb="8">
      <t>オト</t>
    </rPh>
    <phoneticPr fontId="4"/>
  </si>
  <si>
    <t>デカイ手の攻撃でも落とせる</t>
    <rPh sb="3" eb="4">
      <t>テ</t>
    </rPh>
    <rPh sb="5" eb="7">
      <t>コウゲキ</t>
    </rPh>
    <rPh sb="9" eb="10">
      <t>オ</t>
    </rPh>
    <phoneticPr fontId="4"/>
  </si>
  <si>
    <t>攻撃したあとプレイヤーから距離をとって様子をみる</t>
    <rPh sb="0" eb="2">
      <t>コウゲキ</t>
    </rPh>
    <rPh sb="13" eb="15">
      <t>キョリ</t>
    </rPh>
    <rPh sb="19" eb="21">
      <t>ヨウス</t>
    </rPh>
    <phoneticPr fontId="4"/>
  </si>
  <si>
    <t>攻撃の予兆がある</t>
    <rPh sb="0" eb="2">
      <t>コウゲキ</t>
    </rPh>
    <rPh sb="3" eb="5">
      <t>ヨチョウ</t>
    </rPh>
    <phoneticPr fontId="4"/>
  </si>
  <si>
    <t>カメラのロックオン</t>
    <phoneticPr fontId="4"/>
  </si>
  <si>
    <t>マップを作る</t>
    <rPh sb="4" eb="5">
      <t>ツク</t>
    </rPh>
    <phoneticPr fontId="4"/>
  </si>
  <si>
    <t>スポーン条件作る</t>
    <rPh sb="4" eb="6">
      <t>ジョウケン</t>
    </rPh>
    <rPh sb="6" eb="7">
      <t>ツク</t>
    </rPh>
    <phoneticPr fontId="4"/>
  </si>
  <si>
    <t>ボスの設計やる</t>
    <rPh sb="3" eb="5">
      <t>セッケイ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</si>
</sst>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0.0"/>
    <numFmt numFmtId="178" formatCode="m/d\(aaa\)"/>
    <numFmt numFmtId="179" formatCode="d"/>
    <numFmt numFmtId="180" formatCode="0.##"/>
    <numFmt numFmtId="181" formatCode="\+0.##;\-0.##;0"/>
  </numFmts>
  <fonts count="15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0"/>
      <color rgb="FF0000FF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i/>
      <sz val="9"/>
      <color rgb="FF80808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rgb="FF80808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"/>
      <color rgb="FFC00000"/>
      <name val="Meiryo UI"/>
      <family val="3"/>
      <charset val="128"/>
    </font>
    <font>
      <sz val="10"/>
      <color rgb="FF0000C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C5CAE9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D7CCC8"/>
        <bgColor indexed="64"/>
      </patternFill>
    </fill>
    <fill>
      <patternFill patternType="solid">
        <fgColor rgb="FFF8BBD0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0E0E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2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" fontId="1" fillId="0" borderId="1" xfId="0" applyNumberFormat="1" applyFont="1" applyBorder="1">
      <alignment vertical="center"/>
    </xf>
    <xf numFmtId="3" fontId="1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179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4" fillId="8" borderId="2" xfId="0" applyFont="1" applyFill="1" applyBorder="1">
      <alignment vertical="center"/>
    </xf>
    <xf numFmtId="0" fontId="13" fillId="8" borderId="2" xfId="0" applyFont="1" applyFill="1" applyBorder="1">
      <alignment vertical="center"/>
    </xf>
    <xf numFmtId="0" fontId="3" fillId="8" borderId="2" xfId="0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>
      <alignment vertical="center"/>
    </xf>
    <xf numFmtId="0" fontId="14" fillId="9" borderId="2" xfId="0" applyFont="1" applyFill="1" applyBorder="1">
      <alignment vertical="center"/>
    </xf>
    <xf numFmtId="0" fontId="13" fillId="9" borderId="2" xfId="0" applyFont="1" applyFill="1" applyBorder="1">
      <alignment vertical="center"/>
    </xf>
    <xf numFmtId="0" fontId="3" fillId="9" borderId="2" xfId="0" applyFont="1" applyFill="1" applyBorder="1" applyAlignment="1">
      <alignment horizontal="center" vertical="center"/>
    </xf>
    <xf numFmtId="2" fontId="3" fillId="9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>
      <alignment vertical="center"/>
    </xf>
    <xf numFmtId="0" fontId="14" fillId="10" borderId="2" xfId="0" applyFont="1" applyFill="1" applyBorder="1">
      <alignment vertical="center"/>
    </xf>
    <xf numFmtId="0" fontId="13" fillId="10" borderId="2" xfId="0" applyFont="1" applyFill="1" applyBorder="1">
      <alignment vertical="center"/>
    </xf>
    <xf numFmtId="0" fontId="3" fillId="10" borderId="2" xfId="0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>
      <alignment vertical="center"/>
    </xf>
    <xf numFmtId="0" fontId="14" fillId="11" borderId="2" xfId="0" applyFont="1" applyFill="1" applyBorder="1">
      <alignment vertical="center"/>
    </xf>
    <xf numFmtId="0" fontId="13" fillId="11" borderId="2" xfId="0" applyFont="1" applyFill="1" applyBorder="1">
      <alignment vertical="center"/>
    </xf>
    <xf numFmtId="0" fontId="3" fillId="11" borderId="2" xfId="0" applyFont="1" applyFill="1" applyBorder="1" applyAlignment="1">
      <alignment horizontal="center" vertical="center"/>
    </xf>
    <xf numFmtId="2" fontId="3" fillId="11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>
      <alignment vertical="center"/>
    </xf>
    <xf numFmtId="0" fontId="14" fillId="12" borderId="2" xfId="0" applyFont="1" applyFill="1" applyBorder="1">
      <alignment vertical="center"/>
    </xf>
    <xf numFmtId="0" fontId="13" fillId="12" borderId="2" xfId="0" applyFont="1" applyFill="1" applyBorder="1">
      <alignment vertical="center"/>
    </xf>
    <xf numFmtId="0" fontId="3" fillId="12" borderId="2" xfId="0" applyFont="1" applyFill="1" applyBorder="1" applyAlignment="1">
      <alignment horizontal="center" vertical="center"/>
    </xf>
    <xf numFmtId="2" fontId="3" fillId="12" borderId="2" xfId="0" applyNumberFormat="1" applyFont="1" applyFill="1" applyBorder="1" applyAlignment="1">
      <alignment horizontal="center" vertical="center"/>
    </xf>
    <xf numFmtId="0" fontId="3" fillId="12" borderId="2" xfId="0" applyFont="1" applyFill="1" applyBorder="1">
      <alignment vertical="center"/>
    </xf>
    <xf numFmtId="0" fontId="14" fillId="13" borderId="2" xfId="0" applyFont="1" applyFill="1" applyBorder="1">
      <alignment vertical="center"/>
    </xf>
    <xf numFmtId="0" fontId="13" fillId="13" borderId="2" xfId="0" applyFont="1" applyFill="1" applyBorder="1">
      <alignment vertical="center"/>
    </xf>
    <xf numFmtId="0" fontId="3" fillId="13" borderId="2" xfId="0" applyFont="1" applyFill="1" applyBorder="1" applyAlignment="1">
      <alignment horizontal="center" vertical="center"/>
    </xf>
    <xf numFmtId="2" fontId="3" fillId="13" borderId="2" xfId="0" applyNumberFormat="1" applyFont="1" applyFill="1" applyBorder="1" applyAlignment="1">
      <alignment horizontal="center" vertical="center"/>
    </xf>
    <xf numFmtId="0" fontId="3" fillId="13" borderId="2" xfId="0" applyFont="1" applyFill="1" applyBorder="1">
      <alignment vertical="center"/>
    </xf>
    <xf numFmtId="0" fontId="14" fillId="14" borderId="2" xfId="0" applyFont="1" applyFill="1" applyBorder="1">
      <alignment vertical="center"/>
    </xf>
    <xf numFmtId="0" fontId="13" fillId="14" borderId="2" xfId="0" applyFont="1" applyFill="1" applyBorder="1">
      <alignment vertical="center"/>
    </xf>
    <xf numFmtId="0" fontId="3" fillId="14" borderId="2" xfId="0" applyFont="1" applyFill="1" applyBorder="1" applyAlignment="1">
      <alignment horizontal="center" vertical="center"/>
    </xf>
    <xf numFmtId="2" fontId="3" fillId="14" borderId="2" xfId="0" applyNumberFormat="1" applyFont="1" applyFill="1" applyBorder="1" applyAlignment="1">
      <alignment horizontal="center" vertical="center"/>
    </xf>
    <xf numFmtId="0" fontId="3" fillId="14" borderId="2" xfId="0" applyFont="1" applyFill="1" applyBorder="1">
      <alignment vertical="center"/>
    </xf>
    <xf numFmtId="0" fontId="14" fillId="15" borderId="2" xfId="0" applyFont="1" applyFill="1" applyBorder="1">
      <alignment vertical="center"/>
    </xf>
    <xf numFmtId="0" fontId="13" fillId="15" borderId="2" xfId="0" applyFont="1" applyFill="1" applyBorder="1">
      <alignment vertical="center"/>
    </xf>
    <xf numFmtId="0" fontId="3" fillId="15" borderId="2" xfId="0" applyFont="1" applyFill="1" applyBorder="1" applyAlignment="1">
      <alignment horizontal="center" vertical="center"/>
    </xf>
    <xf numFmtId="2" fontId="3" fillId="15" borderId="2" xfId="0" applyNumberFormat="1" applyFont="1" applyFill="1" applyBorder="1" applyAlignment="1">
      <alignment horizontal="center" vertical="center"/>
    </xf>
    <xf numFmtId="0" fontId="3" fillId="15" borderId="2" xfId="0" applyFont="1" applyFill="1" applyBorder="1">
      <alignment vertical="center"/>
    </xf>
    <xf numFmtId="0" fontId="14" fillId="16" borderId="2" xfId="0" applyFont="1" applyFill="1" applyBorder="1">
      <alignment vertical="center"/>
    </xf>
    <xf numFmtId="0" fontId="13" fillId="16" borderId="2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2" fontId="3" fillId="16" borderId="2" xfId="0" applyNumberFormat="1" applyFont="1" applyFill="1" applyBorder="1" applyAlignment="1">
      <alignment horizontal="center" vertical="center"/>
    </xf>
    <xf numFmtId="0" fontId="3" fillId="16" borderId="2" xfId="0" applyFont="1" applyFill="1" applyBorder="1">
      <alignment vertical="center"/>
    </xf>
    <xf numFmtId="0" fontId="14" fillId="17" borderId="2" xfId="0" applyFont="1" applyFill="1" applyBorder="1">
      <alignment vertical="center"/>
    </xf>
    <xf numFmtId="0" fontId="13" fillId="17" borderId="2" xfId="0" applyFont="1" applyFill="1" applyBorder="1">
      <alignment vertical="center"/>
    </xf>
    <xf numFmtId="0" fontId="3" fillId="17" borderId="2" xfId="0" applyFont="1" applyFill="1" applyBorder="1" applyAlignment="1">
      <alignment horizontal="center" vertical="center"/>
    </xf>
    <xf numFmtId="2" fontId="3" fillId="17" borderId="2" xfId="0" applyNumberFormat="1" applyFont="1" applyFill="1" applyBorder="1" applyAlignment="1">
      <alignment horizontal="center" vertical="center"/>
    </xf>
    <xf numFmtId="0" fontId="3" fillId="17" borderId="2" xfId="0" applyFont="1" applyFill="1" applyBorder="1">
      <alignment vertical="center"/>
    </xf>
    <xf numFmtId="0" fontId="14" fillId="18" borderId="2" xfId="0" applyFont="1" applyFill="1" applyBorder="1">
      <alignment vertical="center"/>
    </xf>
    <xf numFmtId="0" fontId="13" fillId="18" borderId="2" xfId="0" applyFont="1" applyFill="1" applyBorder="1">
      <alignment vertical="center"/>
    </xf>
    <xf numFmtId="0" fontId="3" fillId="18" borderId="2" xfId="0" applyFont="1" applyFill="1" applyBorder="1" applyAlignment="1">
      <alignment horizontal="center" vertical="center"/>
    </xf>
    <xf numFmtId="2" fontId="3" fillId="18" borderId="2" xfId="0" applyNumberFormat="1" applyFont="1" applyFill="1" applyBorder="1" applyAlignment="1">
      <alignment horizontal="center" vertical="center"/>
    </xf>
    <xf numFmtId="0" fontId="3" fillId="18" borderId="2" xfId="0" applyFont="1" applyFill="1" applyBorder="1">
      <alignment vertical="center"/>
    </xf>
    <xf numFmtId="0" fontId="14" fillId="19" borderId="2" xfId="0" applyFont="1" applyFill="1" applyBorder="1">
      <alignment vertical="center"/>
    </xf>
    <xf numFmtId="0" fontId="13" fillId="19" borderId="2" xfId="0" applyFont="1" applyFill="1" applyBorder="1">
      <alignment vertical="center"/>
    </xf>
    <xf numFmtId="0" fontId="3" fillId="19" borderId="2" xfId="0" applyFont="1" applyFill="1" applyBorder="1" applyAlignment="1">
      <alignment horizontal="center" vertical="center"/>
    </xf>
    <xf numFmtId="2" fontId="3" fillId="19" borderId="2" xfId="0" applyNumberFormat="1" applyFont="1" applyFill="1" applyBorder="1" applyAlignment="1">
      <alignment horizontal="center" vertical="center"/>
    </xf>
    <xf numFmtId="0" fontId="3" fillId="19" borderId="2" xfId="0" applyFont="1" applyFill="1" applyBorder="1">
      <alignment vertical="center"/>
    </xf>
    <xf numFmtId="0" fontId="14" fillId="20" borderId="2" xfId="0" applyFont="1" applyFill="1" applyBorder="1">
      <alignment vertical="center"/>
    </xf>
    <xf numFmtId="0" fontId="13" fillId="20" borderId="2" xfId="0" applyFont="1" applyFill="1" applyBorder="1">
      <alignment vertical="center"/>
    </xf>
    <xf numFmtId="0" fontId="3" fillId="20" borderId="2" xfId="0" applyFont="1" applyFill="1" applyBorder="1" applyAlignment="1">
      <alignment horizontal="center" vertical="center"/>
    </xf>
    <xf numFmtId="2" fontId="3" fillId="20" borderId="2" xfId="0" applyNumberFormat="1" applyFont="1" applyFill="1" applyBorder="1" applyAlignment="1">
      <alignment horizontal="center" vertical="center"/>
    </xf>
    <xf numFmtId="0" fontId="3" fillId="20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2" fontId="5" fillId="3" borderId="2" xfId="0" applyNumberFormat="1" applyFont="1" applyFill="1" applyBorder="1">
      <alignment vertical="center"/>
    </xf>
    <xf numFmtId="1" fontId="5" fillId="3" borderId="1" xfId="0" applyNumberFormat="1" applyFont="1" applyFill="1" applyBorder="1">
      <alignment vertical="center"/>
    </xf>
    <xf numFmtId="180" fontId="1" fillId="0" borderId="1" xfId="0" applyNumberFormat="1" applyFont="1" applyBorder="1">
      <alignment vertical="center"/>
    </xf>
    <xf numFmtId="180" fontId="5" fillId="3" borderId="1" xfId="0" applyNumberFormat="1" applyFont="1" applyFill="1" applyBorder="1">
      <alignment vertical="center"/>
    </xf>
    <xf numFmtId="181" fontId="1" fillId="0" borderId="1" xfId="0" applyNumberFormat="1" applyFont="1" applyBorder="1">
      <alignment vertical="center"/>
    </xf>
    <xf numFmtId="181" fontId="5" fillId="3" borderId="1" xfId="0" applyNumberFormat="1" applyFont="1" applyFill="1" applyBorder="1">
      <alignment vertical="center"/>
    </xf>
    <xf numFmtId="0" fontId="10" fillId="0" borderId="0" xfId="0" applyFont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rgb="FFFFF2CC"/>
        </patternFill>
      </fill>
    </dxf>
    <dxf>
      <font>
        <b/>
        <i val="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BFBFBF"/>
        </patternFill>
      </fill>
    </dxf>
    <dxf>
      <fill>
        <patternFill>
          <bgColor rgb="FF66CCFF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6FA3-DCB2-415A-914E-EB32479B394C}">
  <dimension ref="A1:I10"/>
  <sheetViews>
    <sheetView workbookViewId="0">
      <selection activeCell="F18" sqref="F18"/>
    </sheetView>
  </sheetViews>
  <sheetFormatPr defaultRowHeight="14.25"/>
  <cols>
    <col min="1" max="1" width="116" style="1" bestFit="1" customWidth="1"/>
    <col min="2" max="2" width="7.375" style="1" bestFit="1" customWidth="1"/>
    <col min="3" max="4" width="6.625" style="1" bestFit="1" customWidth="1"/>
    <col min="5" max="5" width="8.875" style="1" bestFit="1" customWidth="1"/>
    <col min="6" max="6" width="7.25" style="1" bestFit="1" customWidth="1"/>
    <col min="7" max="7" width="11.5" style="1" bestFit="1" customWidth="1"/>
    <col min="8" max="8" width="6.625" style="1" bestFit="1" customWidth="1"/>
    <col min="9" max="9" width="12.75" style="1" bestFit="1" customWidth="1"/>
    <col min="10" max="16384" width="9" style="1"/>
  </cols>
  <sheetData>
    <row r="1" spans="1:9" ht="19.5">
      <c r="A1" s="2" t="s">
        <v>43</v>
      </c>
    </row>
    <row r="3" spans="1:9">
      <c r="A3" s="10" t="s">
        <v>12</v>
      </c>
      <c r="B3" s="10" t="s">
        <v>44</v>
      </c>
      <c r="C3" s="10" t="s">
        <v>232</v>
      </c>
      <c r="D3" s="10" t="s">
        <v>45</v>
      </c>
      <c r="E3" s="10" t="s">
        <v>228</v>
      </c>
      <c r="F3" s="10" t="s">
        <v>230</v>
      </c>
      <c r="G3" s="10" t="s">
        <v>233</v>
      </c>
      <c r="H3" s="10" t="s">
        <v>47</v>
      </c>
      <c r="I3" s="10" t="s">
        <v>234</v>
      </c>
    </row>
    <row r="4" spans="1:9">
      <c r="A4" s="11" t="s">
        <v>19</v>
      </c>
      <c r="B4" s="7">
        <f>COUNTIF(タスク一覧!$E$2:$E$116,$A4)</f>
        <v>63</v>
      </c>
      <c r="C4" s="7">
        <f>COUNTIFS(タスク一覧!$E$2:$E$116,$A4,タスク一覧!$G$2:$G$116,"完了")</f>
        <v>49</v>
      </c>
      <c r="D4" s="7">
        <f>SUMPRODUCT((タスク一覧!$E$2:$E$116=$A4)*(タスク一覧!$H$2:$H$116=0))</f>
        <v>0</v>
      </c>
      <c r="E4" s="97">
        <f>SUMIF(タスク一覧!$E$2:$E$116,$A4,タスク一覧!$H$2:$H$116)</f>
        <v>144.5</v>
      </c>
      <c r="F4" s="97">
        <f>SUMIF(タスク一覧!$E$2:$E$116,$A4,タスク一覧!$I$2:$I$116)</f>
        <v>0</v>
      </c>
      <c r="G4" s="97">
        <f>SUMIFS(タスク一覧!$H$2:$H$116,タスク一覧!$E$2:$E$116,$A4,タスク一覧!$G$2:$G$116,"完了")</f>
        <v>111.5</v>
      </c>
      <c r="H4" s="12">
        <f>IFERROR(G4/E4,0)</f>
        <v>0.77162629757785473</v>
      </c>
      <c r="I4" s="99">
        <f>SUMIFS(タスク一覧!$I$2:$I$116,タスク一覧!$E$2:$E$116,$A4,タスク一覧!$G$2:$G$116,"完了")-G4</f>
        <v>-111.5</v>
      </c>
    </row>
    <row r="5" spans="1:9">
      <c r="A5" s="11" t="s">
        <v>26</v>
      </c>
      <c r="B5" s="7">
        <f>COUNTIF(タスク一覧!$E$2:$E$116,$A5)</f>
        <v>31</v>
      </c>
      <c r="C5" s="7">
        <f>COUNTIFS(タスク一覧!$E$2:$E$116,$A5,タスク一覧!$G$2:$G$116,"完了")</f>
        <v>2</v>
      </c>
      <c r="D5" s="7">
        <f>SUMPRODUCT((タスク一覧!$E$2:$E$116=$A5)*(タスク一覧!$H$2:$H$116=0))</f>
        <v>0</v>
      </c>
      <c r="E5" s="97">
        <f>SUMIF(タスク一覧!$E$2:$E$116,$A5,タスク一覧!$H$2:$H$116)</f>
        <v>64</v>
      </c>
      <c r="F5" s="97">
        <f>SUMIF(タスク一覧!$E$2:$E$116,$A5,タスク一覧!$I$2:$I$116)</f>
        <v>0</v>
      </c>
      <c r="G5" s="97">
        <f>SUMIFS(タスク一覧!$H$2:$H$116,タスク一覧!$E$2:$E$116,$A5,タスク一覧!$G$2:$G$116,"完了")</f>
        <v>2</v>
      </c>
      <c r="H5" s="12">
        <f>IFERROR(G5/E5,0)</f>
        <v>3.125E-2</v>
      </c>
      <c r="I5" s="99">
        <f>SUMIFS(タスク一覧!$I$2:$I$116,タスク一覧!$E$2:$E$116,$A5,タスク一覧!$G$2:$G$116,"完了")-G5</f>
        <v>-2</v>
      </c>
    </row>
    <row r="6" spans="1:9">
      <c r="A6" s="11" t="s">
        <v>37</v>
      </c>
      <c r="B6" s="7">
        <f>COUNTIF(タスク一覧!$E$2:$E$116,$A6)</f>
        <v>20</v>
      </c>
      <c r="C6" s="7">
        <f>COUNTIFS(タスク一覧!$E$2:$E$116,$A6,タスク一覧!$G$2:$G$116,"完了")</f>
        <v>1</v>
      </c>
      <c r="D6" s="7">
        <f>SUMPRODUCT((タスク一覧!$E$2:$E$116=$A6)*(タスク一覧!$H$2:$H$116=0))</f>
        <v>0</v>
      </c>
      <c r="E6" s="97">
        <f>SUMIF(タスク一覧!$E$2:$E$116,$A6,タスク一覧!$H$2:$H$116)</f>
        <v>62</v>
      </c>
      <c r="F6" s="97">
        <f>SUMIF(タスク一覧!$E$2:$E$116,$A6,タスク一覧!$I$2:$I$116)</f>
        <v>0</v>
      </c>
      <c r="G6" s="97">
        <f>SUMIFS(タスク一覧!$H$2:$H$116,タスク一覧!$E$2:$E$116,$A6,タスク一覧!$G$2:$G$116,"完了")</f>
        <v>1</v>
      </c>
      <c r="H6" s="12">
        <f>IFERROR(G6/E6,0)</f>
        <v>1.6129032258064516E-2</v>
      </c>
      <c r="I6" s="99">
        <f>SUMIFS(タスク一覧!$I$2:$I$116,タスク一覧!$E$2:$E$116,$A6,タスク一覧!$G$2:$G$116,"完了")-G6</f>
        <v>-1</v>
      </c>
    </row>
    <row r="7" spans="1:9">
      <c r="A7" s="11" t="s">
        <v>48</v>
      </c>
      <c r="B7" s="7">
        <f>COUNTIF(タスク一覧!$E$2:$E$116,$A7)</f>
        <v>1</v>
      </c>
      <c r="C7" s="7">
        <f>COUNTIFS(タスク一覧!$E$2:$E$116,$A7,タスク一覧!$G$2:$G$116,"完了")</f>
        <v>0</v>
      </c>
      <c r="D7" s="7">
        <f>SUMPRODUCT((タスク一覧!$E$2:$E$116=$A7)*(タスク一覧!$H$2:$H$116=0))</f>
        <v>0</v>
      </c>
      <c r="E7" s="97">
        <f>SUMIF(タスク一覧!$E$2:$E$116,$A7,タスク一覧!$H$2:$H$116)</f>
        <v>1</v>
      </c>
      <c r="F7" s="97">
        <f>SUMIF(タスク一覧!$E$2:$E$116,$A7,タスク一覧!$I$2:$I$116)</f>
        <v>0</v>
      </c>
      <c r="G7" s="97">
        <f>SUMIFS(タスク一覧!$H$2:$H$116,タスク一覧!$E$2:$E$116,$A7,タスク一覧!$G$2:$G$116,"完了")</f>
        <v>0</v>
      </c>
      <c r="H7" s="12">
        <f>IFERROR(G7/E7,0)</f>
        <v>0</v>
      </c>
      <c r="I7" s="99">
        <f>SUMIFS(タスク一覧!$I$2:$I$116,タスク一覧!$E$2:$E$116,$A7,タスク一覧!$G$2:$G$116,"完了")-G7</f>
        <v>0</v>
      </c>
    </row>
    <row r="8" spans="1:9">
      <c r="A8" s="13" t="s">
        <v>42</v>
      </c>
      <c r="B8" s="96">
        <f t="shared" ref="B8:G8" si="0">SUM(B4:B7)</f>
        <v>115</v>
      </c>
      <c r="C8" s="96">
        <f t="shared" si="0"/>
        <v>52</v>
      </c>
      <c r="D8" s="96">
        <f t="shared" si="0"/>
        <v>0</v>
      </c>
      <c r="E8" s="98">
        <f t="shared" si="0"/>
        <v>271.5</v>
      </c>
      <c r="F8" s="98">
        <f t="shared" si="0"/>
        <v>0</v>
      </c>
      <c r="G8" s="98">
        <f t="shared" si="0"/>
        <v>114.5</v>
      </c>
      <c r="H8" s="14">
        <f>IFERROR(G8/E8,0)</f>
        <v>0.42173112338858193</v>
      </c>
      <c r="I8" s="100">
        <f>SUM(I4:I7)</f>
        <v>-114.5</v>
      </c>
    </row>
    <row r="10" spans="1:9">
      <c r="A10" s="1" t="s">
        <v>235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D4BC-8918-429F-8A64-4500766BDCA1}">
  <dimension ref="A1:W19"/>
  <sheetViews>
    <sheetView workbookViewId="0"/>
  </sheetViews>
  <sheetFormatPr defaultRowHeight="14.25"/>
  <cols>
    <col min="1" max="7" width="11.125" style="1" customWidth="1"/>
    <col min="8" max="8" width="2.625" style="1" customWidth="1"/>
    <col min="9" max="15" width="11.125" style="1" customWidth="1"/>
    <col min="16" max="16" width="2.625" style="1" customWidth="1"/>
    <col min="17" max="23" width="11.125" style="1" customWidth="1"/>
    <col min="24" max="16384" width="9" style="1"/>
  </cols>
  <sheetData>
    <row r="1" spans="1:23" ht="19.5">
      <c r="A1" s="2" t="s">
        <v>54</v>
      </c>
    </row>
    <row r="3" spans="1:23">
      <c r="A3" s="10" t="s">
        <v>12</v>
      </c>
      <c r="B3" s="10" t="s">
        <v>55</v>
      </c>
      <c r="C3" s="10" t="s">
        <v>56</v>
      </c>
      <c r="D3" s="10" t="s">
        <v>46</v>
      </c>
      <c r="E3" s="10" t="s">
        <v>57</v>
      </c>
      <c r="F3" s="10" t="s">
        <v>58</v>
      </c>
      <c r="G3" s="10" t="s">
        <v>59</v>
      </c>
    </row>
    <row r="4" spans="1:23">
      <c r="A4" s="15" t="s">
        <v>19</v>
      </c>
      <c r="B4" s="16">
        <v>46296</v>
      </c>
      <c r="C4" s="16">
        <v>46326</v>
      </c>
      <c r="D4" s="17">
        <f>C4-B4+1</f>
        <v>31</v>
      </c>
      <c r="E4" s="18">
        <f>D4*設定!$B$6</f>
        <v>248</v>
      </c>
      <c r="F4" s="18">
        <f>SUMIF(タスク一覧!$E:$E,A4,タスク一覧!$H:$H)*設定!$B$5</f>
        <v>144.5</v>
      </c>
      <c r="G4" s="18">
        <f>E4-F4</f>
        <v>103.5</v>
      </c>
      <c r="I4" s="22" t="s">
        <v>60</v>
      </c>
    </row>
    <row r="5" spans="1:23">
      <c r="A5" s="19" t="s">
        <v>26</v>
      </c>
      <c r="B5" s="16">
        <v>46327</v>
      </c>
      <c r="C5" s="16">
        <v>46356</v>
      </c>
      <c r="D5" s="17">
        <f>C5-B5+1</f>
        <v>30</v>
      </c>
      <c r="E5" s="18">
        <f>D5*設定!$B$6</f>
        <v>240</v>
      </c>
      <c r="F5" s="18">
        <f>SUMIF(タスク一覧!$E:$E,A5,タスク一覧!$H:$H)*設定!$B$5</f>
        <v>64</v>
      </c>
      <c r="G5" s="18">
        <f>E5-F5</f>
        <v>176</v>
      </c>
      <c r="I5" s="22" t="s">
        <v>61</v>
      </c>
    </row>
    <row r="6" spans="1:23">
      <c r="A6" s="20" t="s">
        <v>37</v>
      </c>
      <c r="B6" s="16">
        <v>46357</v>
      </c>
      <c r="C6" s="16">
        <v>46379</v>
      </c>
      <c r="D6" s="17">
        <f>C6-B6+1</f>
        <v>23</v>
      </c>
      <c r="E6" s="18">
        <f>D6*設定!$B$6</f>
        <v>184</v>
      </c>
      <c r="F6" s="18">
        <f>SUMIF(タスク一覧!$E:$E,A6,タスク一覧!$H:$H)*設定!$B$5</f>
        <v>62</v>
      </c>
      <c r="G6" s="18">
        <f>E6-F6</f>
        <v>122</v>
      </c>
    </row>
    <row r="7" spans="1:23">
      <c r="A7" s="21" t="s">
        <v>48</v>
      </c>
      <c r="B7" s="16">
        <v>46380</v>
      </c>
      <c r="C7" s="16">
        <v>46386</v>
      </c>
      <c r="D7" s="17">
        <f>C7-B7+1</f>
        <v>7</v>
      </c>
      <c r="E7" s="18">
        <f>D7*設定!$B$6</f>
        <v>56</v>
      </c>
      <c r="F7" s="18">
        <f>SUMIF(タスク一覧!$E:$E,A7,タスク一覧!$H:$H)*設定!$B$5</f>
        <v>1</v>
      </c>
      <c r="G7" s="18">
        <f>E7-F7</f>
        <v>55</v>
      </c>
    </row>
    <row r="10" spans="1:23" ht="16.5">
      <c r="A10" s="101" t="s">
        <v>62</v>
      </c>
      <c r="B10" s="101"/>
      <c r="C10" s="101"/>
      <c r="D10" s="101"/>
      <c r="E10" s="101"/>
      <c r="F10" s="101"/>
      <c r="G10" s="101"/>
      <c r="I10" s="101" t="s">
        <v>70</v>
      </c>
      <c r="J10" s="101"/>
      <c r="K10" s="101"/>
      <c r="L10" s="101"/>
      <c r="M10" s="101"/>
      <c r="N10" s="101"/>
      <c r="O10" s="101"/>
      <c r="Q10" s="101" t="s">
        <v>71</v>
      </c>
      <c r="R10" s="101"/>
      <c r="S10" s="101"/>
      <c r="T10" s="101"/>
      <c r="U10" s="101"/>
      <c r="V10" s="101"/>
      <c r="W10" s="101"/>
    </row>
    <row r="11" spans="1:23">
      <c r="A11" s="10" t="s">
        <v>63</v>
      </c>
      <c r="B11" s="10" t="s">
        <v>64</v>
      </c>
      <c r="C11" s="10" t="s">
        <v>65</v>
      </c>
      <c r="D11" s="10" t="s">
        <v>66</v>
      </c>
      <c r="E11" s="10" t="s">
        <v>67</v>
      </c>
      <c r="F11" s="10" t="s">
        <v>68</v>
      </c>
      <c r="G11" s="10" t="s">
        <v>69</v>
      </c>
      <c r="I11" s="10" t="s">
        <v>63</v>
      </c>
      <c r="J11" s="10" t="s">
        <v>64</v>
      </c>
      <c r="K11" s="10" t="s">
        <v>65</v>
      </c>
      <c r="L11" s="10" t="s">
        <v>66</v>
      </c>
      <c r="M11" s="10" t="s">
        <v>67</v>
      </c>
      <c r="N11" s="10" t="s">
        <v>68</v>
      </c>
      <c r="O11" s="10" t="s">
        <v>69</v>
      </c>
      <c r="Q11" s="10" t="s">
        <v>63</v>
      </c>
      <c r="R11" s="10" t="s">
        <v>64</v>
      </c>
      <c r="S11" s="10" t="s">
        <v>65</v>
      </c>
      <c r="T11" s="10" t="s">
        <v>66</v>
      </c>
      <c r="U11" s="10" t="s">
        <v>67</v>
      </c>
      <c r="V11" s="10" t="s">
        <v>68</v>
      </c>
      <c r="W11" s="10" t="s">
        <v>69</v>
      </c>
    </row>
    <row r="12" spans="1:23" ht="24" customHeight="1">
      <c r="A12" s="24"/>
      <c r="B12" s="11"/>
      <c r="C12" s="11"/>
      <c r="D12" s="11"/>
      <c r="E12" s="23">
        <v>46296</v>
      </c>
      <c r="F12" s="23">
        <v>46297</v>
      </c>
      <c r="G12" s="26">
        <v>46298</v>
      </c>
      <c r="I12" s="25">
        <v>46327</v>
      </c>
      <c r="J12" s="23">
        <v>46328</v>
      </c>
      <c r="K12" s="23">
        <v>46329</v>
      </c>
      <c r="L12" s="23">
        <v>46330</v>
      </c>
      <c r="M12" s="23">
        <v>46331</v>
      </c>
      <c r="N12" s="23">
        <v>46332</v>
      </c>
      <c r="O12" s="26">
        <v>46333</v>
      </c>
      <c r="Q12" s="24"/>
      <c r="R12" s="11"/>
      <c r="S12" s="23">
        <v>46357</v>
      </c>
      <c r="T12" s="23">
        <v>46358</v>
      </c>
      <c r="U12" s="23">
        <v>46359</v>
      </c>
      <c r="V12" s="23">
        <v>46360</v>
      </c>
      <c r="W12" s="26">
        <v>46361</v>
      </c>
    </row>
    <row r="13" spans="1:23" ht="24" customHeight="1">
      <c r="A13" s="25">
        <v>46299</v>
      </c>
      <c r="B13" s="23">
        <v>46300</v>
      </c>
      <c r="C13" s="23">
        <v>46301</v>
      </c>
      <c r="D13" s="23">
        <v>46302</v>
      </c>
      <c r="E13" s="23">
        <v>46303</v>
      </c>
      <c r="F13" s="23">
        <v>46304</v>
      </c>
      <c r="G13" s="26">
        <v>46305</v>
      </c>
      <c r="I13" s="25">
        <v>46334</v>
      </c>
      <c r="J13" s="23">
        <v>46335</v>
      </c>
      <c r="K13" s="23">
        <v>46336</v>
      </c>
      <c r="L13" s="23">
        <v>46337</v>
      </c>
      <c r="M13" s="23">
        <v>46338</v>
      </c>
      <c r="N13" s="23">
        <v>46339</v>
      </c>
      <c r="O13" s="26">
        <v>46340</v>
      </c>
      <c r="Q13" s="25">
        <v>46362</v>
      </c>
      <c r="R13" s="23">
        <v>46363</v>
      </c>
      <c r="S13" s="23">
        <v>46364</v>
      </c>
      <c r="T13" s="23">
        <v>46365</v>
      </c>
      <c r="U13" s="23">
        <v>46366</v>
      </c>
      <c r="V13" s="23">
        <v>46367</v>
      </c>
      <c r="W13" s="26">
        <v>46368</v>
      </c>
    </row>
    <row r="14" spans="1:23" ht="24" customHeight="1">
      <c r="A14" s="25">
        <v>46306</v>
      </c>
      <c r="B14" s="23">
        <v>46307</v>
      </c>
      <c r="C14" s="23">
        <v>46308</v>
      </c>
      <c r="D14" s="23">
        <v>46309</v>
      </c>
      <c r="E14" s="23">
        <v>46310</v>
      </c>
      <c r="F14" s="23">
        <v>46311</v>
      </c>
      <c r="G14" s="26">
        <v>46312</v>
      </c>
      <c r="I14" s="25">
        <v>46341</v>
      </c>
      <c r="J14" s="23">
        <v>46342</v>
      </c>
      <c r="K14" s="23">
        <v>46343</v>
      </c>
      <c r="L14" s="23">
        <v>46344</v>
      </c>
      <c r="M14" s="23">
        <v>46345</v>
      </c>
      <c r="N14" s="23">
        <v>46346</v>
      </c>
      <c r="O14" s="26">
        <v>46347</v>
      </c>
      <c r="Q14" s="25">
        <v>46369</v>
      </c>
      <c r="R14" s="23">
        <v>46370</v>
      </c>
      <c r="S14" s="23">
        <v>46371</v>
      </c>
      <c r="T14" s="23">
        <v>46372</v>
      </c>
      <c r="U14" s="23">
        <v>46373</v>
      </c>
      <c r="V14" s="23">
        <v>46374</v>
      </c>
      <c r="W14" s="26">
        <v>46375</v>
      </c>
    </row>
    <row r="15" spans="1:23" ht="24" customHeight="1">
      <c r="A15" s="25">
        <v>46313</v>
      </c>
      <c r="B15" s="23">
        <v>46314</v>
      </c>
      <c r="C15" s="23">
        <v>46315</v>
      </c>
      <c r="D15" s="23">
        <v>46316</v>
      </c>
      <c r="E15" s="23">
        <v>46317</v>
      </c>
      <c r="F15" s="23">
        <v>46318</v>
      </c>
      <c r="G15" s="26">
        <v>46319</v>
      </c>
      <c r="I15" s="25">
        <v>46348</v>
      </c>
      <c r="J15" s="23">
        <v>46349</v>
      </c>
      <c r="K15" s="23">
        <v>46350</v>
      </c>
      <c r="L15" s="23">
        <v>46351</v>
      </c>
      <c r="M15" s="23">
        <v>46352</v>
      </c>
      <c r="N15" s="23">
        <v>46353</v>
      </c>
      <c r="O15" s="26">
        <v>46354</v>
      </c>
      <c r="Q15" s="25">
        <v>46376</v>
      </c>
      <c r="R15" s="23">
        <v>46377</v>
      </c>
      <c r="S15" s="23">
        <v>46378</v>
      </c>
      <c r="T15" s="23">
        <v>46379</v>
      </c>
      <c r="U15" s="23">
        <v>46380</v>
      </c>
      <c r="V15" s="23">
        <v>46381</v>
      </c>
      <c r="W15" s="26">
        <v>46382</v>
      </c>
    </row>
    <row r="16" spans="1:23" ht="24" customHeight="1">
      <c r="A16" s="25">
        <v>46320</v>
      </c>
      <c r="B16" s="23">
        <v>46321</v>
      </c>
      <c r="C16" s="23">
        <v>46322</v>
      </c>
      <c r="D16" s="23">
        <v>46323</v>
      </c>
      <c r="E16" s="23">
        <v>46324</v>
      </c>
      <c r="F16" s="23">
        <v>46325</v>
      </c>
      <c r="G16" s="26">
        <v>46326</v>
      </c>
      <c r="I16" s="25">
        <v>46355</v>
      </c>
      <c r="J16" s="23">
        <v>46356</v>
      </c>
      <c r="K16" s="11"/>
      <c r="L16" s="11"/>
      <c r="M16" s="11"/>
      <c r="N16" s="11"/>
      <c r="O16" s="27"/>
      <c r="Q16" s="25">
        <v>46383</v>
      </c>
      <c r="R16" s="23">
        <v>46384</v>
      </c>
      <c r="S16" s="23">
        <v>46385</v>
      </c>
      <c r="T16" s="23">
        <v>46386</v>
      </c>
      <c r="U16" s="23">
        <v>46387</v>
      </c>
      <c r="V16" s="11"/>
      <c r="W16" s="27"/>
    </row>
    <row r="17" spans="1:23" ht="24" customHeight="1">
      <c r="A17" s="24"/>
      <c r="B17" s="11"/>
      <c r="C17" s="11"/>
      <c r="D17" s="11"/>
      <c r="E17" s="11"/>
      <c r="F17" s="11"/>
      <c r="G17" s="27"/>
      <c r="I17" s="24"/>
      <c r="J17" s="11"/>
      <c r="K17" s="11"/>
      <c r="L17" s="11"/>
      <c r="M17" s="11"/>
      <c r="N17" s="11"/>
      <c r="O17" s="27"/>
      <c r="Q17" s="24"/>
      <c r="R17" s="11"/>
      <c r="S17" s="11"/>
      <c r="T17" s="11"/>
      <c r="U17" s="11"/>
      <c r="V17" s="11"/>
      <c r="W17" s="27"/>
    </row>
    <row r="19" spans="1:23">
      <c r="A19" s="22" t="s">
        <v>72</v>
      </c>
    </row>
  </sheetData>
  <mergeCells count="3">
    <mergeCell ref="A10:G10"/>
    <mergeCell ref="I10:O10"/>
    <mergeCell ref="Q10:W10"/>
  </mergeCells>
  <phoneticPr fontId="4"/>
  <conditionalFormatting sqref="A12:W17">
    <cfRule type="expression" dxfId="5" priority="1" stopIfTrue="1">
      <formula>AND(A12&lt;&gt;"",A12&gt;=$B$4,A12&lt;=$C$4)</formula>
    </cfRule>
    <cfRule type="expression" dxfId="4" priority="2" stopIfTrue="1">
      <formula>AND(A12&lt;&gt;"",A12&gt;=$B$5,A12&lt;=$C$5)</formula>
    </cfRule>
    <cfRule type="expression" dxfId="3" priority="3" stopIfTrue="1">
      <formula>AND(A12&lt;&gt;"",A12&gt;=$B$6,A12&lt;=$C$6)</formula>
    </cfRule>
    <cfRule type="expression" dxfId="2" priority="4" stopIfTrue="1">
      <formula>AND(A12&lt;&gt;"",A12&gt;=$B$7,A12&lt;=$C$7)</formula>
    </cfRule>
    <cfRule type="expression" dxfId="1" priority="5" stopIfTrue="1">
      <formula>A12=TODAY()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B56F-9C16-43FE-9B5C-FD4AC86E6A15}">
  <sheetPr filterMode="1"/>
  <dimension ref="A1:J117"/>
  <sheetViews>
    <sheetView tabSelected="1" workbookViewId="0">
      <pane ySplit="1" topLeftCell="A3" activePane="bottomLeft" state="frozenSplit"/>
      <selection pane="bottomLeft" activeCell="G63" sqref="G63"/>
    </sheetView>
  </sheetViews>
  <sheetFormatPr defaultRowHeight="14.25"/>
  <cols>
    <col min="1" max="2" width="12.625" style="1" customWidth="1"/>
    <col min="3" max="3" width="10.625" style="1" customWidth="1"/>
    <col min="4" max="4" width="30.625" style="1" customWidth="1"/>
    <col min="5" max="5" width="9.625" style="1" customWidth="1"/>
    <col min="6" max="6" width="7.625" style="1" customWidth="1"/>
    <col min="7" max="7" width="9.625" style="1" customWidth="1"/>
    <col min="8" max="9" width="8.625" style="1" customWidth="1"/>
    <col min="10" max="10" width="50.625" style="1" customWidth="1"/>
    <col min="11" max="16384" width="9" style="1"/>
  </cols>
  <sheetData>
    <row r="1" spans="1:10">
      <c r="A1" s="28" t="s">
        <v>8</v>
      </c>
      <c r="B1" s="28" t="s">
        <v>9</v>
      </c>
      <c r="C1" s="28" t="s">
        <v>10</v>
      </c>
      <c r="D1" s="28" t="s">
        <v>11</v>
      </c>
      <c r="E1" s="28" t="s">
        <v>12</v>
      </c>
      <c r="F1" s="28" t="s">
        <v>13</v>
      </c>
      <c r="G1" s="28" t="s">
        <v>14</v>
      </c>
      <c r="H1" s="28" t="s">
        <v>229</v>
      </c>
      <c r="I1" s="28" t="s">
        <v>231</v>
      </c>
      <c r="J1" s="28" t="s">
        <v>16</v>
      </c>
    </row>
    <row r="2" spans="1:10" hidden="1">
      <c r="A2" s="29" t="s">
        <v>17</v>
      </c>
      <c r="B2" s="30" t="s">
        <v>18</v>
      </c>
      <c r="C2" s="30"/>
      <c r="D2" s="30" t="s">
        <v>73</v>
      </c>
      <c r="E2" s="31" t="s">
        <v>19</v>
      </c>
      <c r="F2" s="31" t="s">
        <v>20</v>
      </c>
      <c r="G2" s="31" t="s">
        <v>236</v>
      </c>
      <c r="H2" s="32">
        <v>0.5</v>
      </c>
      <c r="I2" s="32"/>
      <c r="J2" s="33"/>
    </row>
    <row r="3" spans="1:10">
      <c r="A3" s="29" t="s">
        <v>17</v>
      </c>
      <c r="B3" s="30" t="s">
        <v>18</v>
      </c>
      <c r="C3" s="30"/>
      <c r="D3" s="30" t="s">
        <v>74</v>
      </c>
      <c r="E3" s="31" t="s">
        <v>19</v>
      </c>
      <c r="F3" s="31" t="s">
        <v>20</v>
      </c>
      <c r="G3" s="31" t="s">
        <v>237</v>
      </c>
      <c r="H3" s="32">
        <v>3</v>
      </c>
      <c r="I3" s="32"/>
      <c r="J3" s="33"/>
    </row>
    <row r="4" spans="1:10" hidden="1">
      <c r="A4" s="29" t="s">
        <v>17</v>
      </c>
      <c r="B4" s="30" t="s">
        <v>22</v>
      </c>
      <c r="C4" s="30"/>
      <c r="D4" s="30" t="s">
        <v>75</v>
      </c>
      <c r="E4" s="31" t="s">
        <v>19</v>
      </c>
      <c r="F4" s="31" t="s">
        <v>20</v>
      </c>
      <c r="G4" s="31" t="s">
        <v>236</v>
      </c>
      <c r="H4" s="32">
        <v>0.5</v>
      </c>
      <c r="I4" s="32"/>
      <c r="J4" s="33"/>
    </row>
    <row r="5" spans="1:10">
      <c r="A5" s="29" t="s">
        <v>17</v>
      </c>
      <c r="B5" s="30" t="s">
        <v>22</v>
      </c>
      <c r="C5" s="30"/>
      <c r="D5" s="30" t="s">
        <v>76</v>
      </c>
      <c r="E5" s="31" t="s">
        <v>19</v>
      </c>
      <c r="F5" s="31" t="s">
        <v>20</v>
      </c>
      <c r="G5" s="31" t="s">
        <v>21</v>
      </c>
      <c r="H5" s="32">
        <v>0.5</v>
      </c>
      <c r="I5" s="32"/>
      <c r="J5" s="33"/>
    </row>
    <row r="6" spans="1:10">
      <c r="A6" s="29" t="s">
        <v>17</v>
      </c>
      <c r="B6" s="30" t="s">
        <v>22</v>
      </c>
      <c r="C6" s="30"/>
      <c r="D6" s="30" t="s">
        <v>77</v>
      </c>
      <c r="E6" s="31" t="s">
        <v>19</v>
      </c>
      <c r="F6" s="31" t="s">
        <v>241</v>
      </c>
      <c r="G6" s="31" t="s">
        <v>21</v>
      </c>
      <c r="H6" s="32">
        <v>0.5</v>
      </c>
      <c r="I6" s="32"/>
      <c r="J6" s="33"/>
    </row>
    <row r="7" spans="1:10" hidden="1">
      <c r="A7" s="29" t="s">
        <v>17</v>
      </c>
      <c r="B7" s="30" t="s">
        <v>30</v>
      </c>
      <c r="C7" s="30"/>
      <c r="D7" s="30" t="s">
        <v>78</v>
      </c>
      <c r="E7" s="31" t="s">
        <v>19</v>
      </c>
      <c r="F7" s="31" t="s">
        <v>20</v>
      </c>
      <c r="G7" s="31" t="s">
        <v>236</v>
      </c>
      <c r="H7" s="32">
        <v>0.5</v>
      </c>
      <c r="I7" s="32"/>
      <c r="J7" s="33"/>
    </row>
    <row r="8" spans="1:10">
      <c r="A8" s="29" t="s">
        <v>17</v>
      </c>
      <c r="B8" s="30" t="s">
        <v>30</v>
      </c>
      <c r="C8" s="30"/>
      <c r="D8" s="30" t="s">
        <v>79</v>
      </c>
      <c r="E8" s="31" t="s">
        <v>19</v>
      </c>
      <c r="F8" s="31" t="s">
        <v>20</v>
      </c>
      <c r="G8" s="31" t="s">
        <v>21</v>
      </c>
      <c r="H8" s="32">
        <v>0.5</v>
      </c>
      <c r="I8" s="32"/>
      <c r="J8" s="33"/>
    </row>
    <row r="9" spans="1:10">
      <c r="A9" s="29" t="s">
        <v>17</v>
      </c>
      <c r="B9" s="30" t="s">
        <v>30</v>
      </c>
      <c r="C9" s="30"/>
      <c r="D9" s="30" t="s">
        <v>80</v>
      </c>
      <c r="E9" s="31" t="s">
        <v>19</v>
      </c>
      <c r="F9" s="31" t="s">
        <v>20</v>
      </c>
      <c r="G9" s="31" t="s">
        <v>237</v>
      </c>
      <c r="H9" s="32">
        <v>0.5</v>
      </c>
      <c r="I9" s="32"/>
      <c r="J9" s="33"/>
    </row>
    <row r="10" spans="1:10" hidden="1">
      <c r="A10" s="29" t="s">
        <v>17</v>
      </c>
      <c r="B10" s="30" t="s">
        <v>31</v>
      </c>
      <c r="C10" s="30"/>
      <c r="D10" s="30" t="s">
        <v>81</v>
      </c>
      <c r="E10" s="31" t="s">
        <v>19</v>
      </c>
      <c r="F10" s="31" t="s">
        <v>20</v>
      </c>
      <c r="G10" s="31" t="s">
        <v>236</v>
      </c>
      <c r="H10" s="32">
        <v>0.5</v>
      </c>
      <c r="I10" s="32"/>
      <c r="J10" s="33"/>
    </row>
    <row r="11" spans="1:10" hidden="1">
      <c r="A11" s="29" t="s">
        <v>17</v>
      </c>
      <c r="B11" s="30" t="s">
        <v>31</v>
      </c>
      <c r="C11" s="30"/>
      <c r="D11" s="30" t="s">
        <v>82</v>
      </c>
      <c r="E11" s="31" t="s">
        <v>19</v>
      </c>
      <c r="F11" s="31" t="s">
        <v>20</v>
      </c>
      <c r="G11" s="31" t="s">
        <v>236</v>
      </c>
      <c r="H11" s="32">
        <v>0.5</v>
      </c>
      <c r="I11" s="32"/>
      <c r="J11" s="33"/>
    </row>
    <row r="12" spans="1:10">
      <c r="A12" s="29" t="s">
        <v>17</v>
      </c>
      <c r="B12" s="30" t="s">
        <v>83</v>
      </c>
      <c r="C12" s="30"/>
      <c r="D12" s="30" t="s">
        <v>84</v>
      </c>
      <c r="E12" s="31" t="s">
        <v>19</v>
      </c>
      <c r="F12" s="31" t="s">
        <v>20</v>
      </c>
      <c r="G12" s="31" t="s">
        <v>237</v>
      </c>
      <c r="H12" s="32">
        <v>5</v>
      </c>
      <c r="I12" s="32"/>
      <c r="J12" s="33"/>
    </row>
    <row r="13" spans="1:10" hidden="1">
      <c r="A13" s="29" t="s">
        <v>17</v>
      </c>
      <c r="B13" s="30" t="s">
        <v>83</v>
      </c>
      <c r="C13" s="30"/>
      <c r="D13" s="30" t="s">
        <v>85</v>
      </c>
      <c r="E13" s="31" t="s">
        <v>19</v>
      </c>
      <c r="F13" s="31" t="s">
        <v>20</v>
      </c>
      <c r="G13" s="31" t="s">
        <v>236</v>
      </c>
      <c r="H13" s="32">
        <v>0.5</v>
      </c>
      <c r="I13" s="32"/>
      <c r="J13" s="33"/>
    </row>
    <row r="14" spans="1:10" hidden="1">
      <c r="A14" s="29" t="s">
        <v>17</v>
      </c>
      <c r="B14" s="30" t="s">
        <v>86</v>
      </c>
      <c r="C14" s="30"/>
      <c r="D14" s="30" t="s">
        <v>87</v>
      </c>
      <c r="E14" s="31" t="s">
        <v>19</v>
      </c>
      <c r="F14" s="31" t="s">
        <v>20</v>
      </c>
      <c r="G14" s="31" t="s">
        <v>247</v>
      </c>
      <c r="H14" s="32">
        <v>0.5</v>
      </c>
      <c r="I14" s="32"/>
      <c r="J14" s="33"/>
    </row>
    <row r="15" spans="1:10" hidden="1">
      <c r="A15" s="29" t="s">
        <v>17</v>
      </c>
      <c r="B15" s="30" t="s">
        <v>86</v>
      </c>
      <c r="C15" s="30"/>
      <c r="D15" s="30" t="s">
        <v>88</v>
      </c>
      <c r="E15" s="31" t="s">
        <v>19</v>
      </c>
      <c r="F15" s="31" t="s">
        <v>20</v>
      </c>
      <c r="G15" s="31" t="s">
        <v>236</v>
      </c>
      <c r="H15" s="32">
        <v>0.5</v>
      </c>
      <c r="I15" s="32"/>
      <c r="J15" s="33"/>
    </row>
    <row r="16" spans="1:10" hidden="1">
      <c r="A16" s="29" t="s">
        <v>17</v>
      </c>
      <c r="B16" s="30" t="s">
        <v>89</v>
      </c>
      <c r="C16" s="30"/>
      <c r="D16" s="30" t="s">
        <v>90</v>
      </c>
      <c r="E16" s="31" t="s">
        <v>19</v>
      </c>
      <c r="F16" s="31" t="s">
        <v>20</v>
      </c>
      <c r="G16" s="31" t="s">
        <v>236</v>
      </c>
      <c r="H16" s="32">
        <v>0.5</v>
      </c>
      <c r="I16" s="32"/>
      <c r="J16" s="33"/>
    </row>
    <row r="17" spans="1:10">
      <c r="A17" s="29" t="s">
        <v>17</v>
      </c>
      <c r="B17" s="30" t="s">
        <v>89</v>
      </c>
      <c r="C17" s="30"/>
      <c r="D17" s="30" t="s">
        <v>91</v>
      </c>
      <c r="E17" s="31" t="s">
        <v>19</v>
      </c>
      <c r="F17" s="31" t="s">
        <v>20</v>
      </c>
      <c r="G17" s="31" t="s">
        <v>237</v>
      </c>
      <c r="H17" s="32">
        <v>1</v>
      </c>
      <c r="I17" s="32"/>
      <c r="J17" s="33"/>
    </row>
    <row r="18" spans="1:10">
      <c r="A18" s="29" t="s">
        <v>17</v>
      </c>
      <c r="B18" s="30" t="s">
        <v>89</v>
      </c>
      <c r="C18" s="30"/>
      <c r="D18" s="30" t="s">
        <v>92</v>
      </c>
      <c r="E18" s="31" t="s">
        <v>19</v>
      </c>
      <c r="F18" s="31" t="s">
        <v>242</v>
      </c>
      <c r="G18" s="31" t="s">
        <v>21</v>
      </c>
      <c r="H18" s="32">
        <v>4</v>
      </c>
      <c r="I18" s="32"/>
      <c r="J18" s="33"/>
    </row>
    <row r="19" spans="1:10" hidden="1">
      <c r="A19" s="29" t="s">
        <v>17</v>
      </c>
      <c r="B19" s="30" t="s">
        <v>93</v>
      </c>
      <c r="C19" s="30"/>
      <c r="D19" s="30" t="s">
        <v>94</v>
      </c>
      <c r="E19" s="31" t="s">
        <v>19</v>
      </c>
      <c r="F19" s="31" t="s">
        <v>20</v>
      </c>
      <c r="G19" s="31" t="s">
        <v>236</v>
      </c>
      <c r="H19" s="32">
        <v>7</v>
      </c>
      <c r="I19" s="32"/>
      <c r="J19" s="33"/>
    </row>
    <row r="20" spans="1:10" hidden="1">
      <c r="A20" s="34" t="s">
        <v>24</v>
      </c>
      <c r="B20" s="35" t="s">
        <v>95</v>
      </c>
      <c r="C20" s="35"/>
      <c r="D20" s="35" t="s">
        <v>96</v>
      </c>
      <c r="E20" s="36" t="s">
        <v>19</v>
      </c>
      <c r="F20" s="36" t="s">
        <v>20</v>
      </c>
      <c r="G20" s="36" t="s">
        <v>236</v>
      </c>
      <c r="H20" s="37">
        <v>5</v>
      </c>
      <c r="I20" s="37"/>
      <c r="J20" s="38"/>
    </row>
    <row r="21" spans="1:10" hidden="1">
      <c r="A21" s="34" t="s">
        <v>24</v>
      </c>
      <c r="B21" s="35" t="s">
        <v>95</v>
      </c>
      <c r="C21" s="35"/>
      <c r="D21" s="35" t="s">
        <v>97</v>
      </c>
      <c r="E21" s="36" t="s">
        <v>19</v>
      </c>
      <c r="F21" s="36" t="s">
        <v>20</v>
      </c>
      <c r="G21" s="36" t="s">
        <v>236</v>
      </c>
      <c r="H21" s="37">
        <v>5</v>
      </c>
      <c r="I21" s="37"/>
      <c r="J21" s="38"/>
    </row>
    <row r="22" spans="1:10" hidden="1">
      <c r="A22" s="34" t="s">
        <v>24</v>
      </c>
      <c r="B22" s="35" t="s">
        <v>98</v>
      </c>
      <c r="C22" s="35"/>
      <c r="D22" s="35" t="s">
        <v>99</v>
      </c>
      <c r="E22" s="36" t="s">
        <v>19</v>
      </c>
      <c r="F22" s="36" t="s">
        <v>20</v>
      </c>
      <c r="G22" s="36" t="s">
        <v>236</v>
      </c>
      <c r="H22" s="37">
        <v>3</v>
      </c>
      <c r="I22" s="37"/>
      <c r="J22" s="38"/>
    </row>
    <row r="23" spans="1:10" hidden="1">
      <c r="A23" s="34" t="s">
        <v>24</v>
      </c>
      <c r="B23" s="35" t="s">
        <v>98</v>
      </c>
      <c r="C23" s="35"/>
      <c r="D23" s="35" t="s">
        <v>100</v>
      </c>
      <c r="E23" s="36" t="s">
        <v>19</v>
      </c>
      <c r="F23" s="36" t="s">
        <v>20</v>
      </c>
      <c r="G23" s="36" t="s">
        <v>236</v>
      </c>
      <c r="H23" s="37">
        <v>2</v>
      </c>
      <c r="I23" s="37"/>
      <c r="J23" s="38"/>
    </row>
    <row r="24" spans="1:10" hidden="1">
      <c r="A24" s="34" t="s">
        <v>24</v>
      </c>
      <c r="B24" s="35" t="s">
        <v>101</v>
      </c>
      <c r="C24" s="35"/>
      <c r="D24" s="35" t="s">
        <v>102</v>
      </c>
      <c r="E24" s="36" t="s">
        <v>19</v>
      </c>
      <c r="F24" s="36" t="s">
        <v>20</v>
      </c>
      <c r="G24" s="36" t="s">
        <v>236</v>
      </c>
      <c r="H24" s="37">
        <v>3</v>
      </c>
      <c r="I24" s="37"/>
      <c r="J24" s="38"/>
    </row>
    <row r="25" spans="1:10" hidden="1">
      <c r="A25" s="34" t="s">
        <v>24</v>
      </c>
      <c r="B25" s="35" t="s">
        <v>101</v>
      </c>
      <c r="C25" s="35"/>
      <c r="D25" s="35" t="s">
        <v>103</v>
      </c>
      <c r="E25" s="36" t="s">
        <v>19</v>
      </c>
      <c r="F25" s="36" t="s">
        <v>20</v>
      </c>
      <c r="G25" s="36" t="s">
        <v>236</v>
      </c>
      <c r="H25" s="37">
        <v>3</v>
      </c>
      <c r="I25" s="37"/>
      <c r="J25" s="38"/>
    </row>
    <row r="26" spans="1:10" hidden="1">
      <c r="A26" s="34" t="s">
        <v>24</v>
      </c>
      <c r="B26" s="35" t="s">
        <v>104</v>
      </c>
      <c r="C26" s="35"/>
      <c r="D26" s="35" t="s">
        <v>105</v>
      </c>
      <c r="E26" s="36" t="s">
        <v>19</v>
      </c>
      <c r="F26" s="36" t="s">
        <v>20</v>
      </c>
      <c r="G26" s="36" t="s">
        <v>236</v>
      </c>
      <c r="H26" s="37">
        <v>3</v>
      </c>
      <c r="I26" s="37"/>
      <c r="J26" s="38"/>
    </row>
    <row r="27" spans="1:10" hidden="1">
      <c r="A27" s="34" t="s">
        <v>24</v>
      </c>
      <c r="B27" s="35" t="s">
        <v>106</v>
      </c>
      <c r="C27" s="35"/>
      <c r="D27" s="35" t="s">
        <v>25</v>
      </c>
      <c r="E27" s="36" t="s">
        <v>19</v>
      </c>
      <c r="F27" s="36" t="s">
        <v>20</v>
      </c>
      <c r="G27" s="36" t="s">
        <v>236</v>
      </c>
      <c r="H27" s="37">
        <v>3</v>
      </c>
      <c r="I27" s="37"/>
      <c r="J27" s="38"/>
    </row>
    <row r="28" spans="1:10" hidden="1">
      <c r="A28" s="34" t="s">
        <v>24</v>
      </c>
      <c r="B28" s="35" t="s">
        <v>106</v>
      </c>
      <c r="C28" s="35"/>
      <c r="D28" s="35" t="s">
        <v>27</v>
      </c>
      <c r="E28" s="36" t="s">
        <v>19</v>
      </c>
      <c r="F28" s="36" t="s">
        <v>20</v>
      </c>
      <c r="G28" s="36" t="s">
        <v>236</v>
      </c>
      <c r="H28" s="37">
        <v>3</v>
      </c>
      <c r="I28" s="37"/>
      <c r="J28" s="38"/>
    </row>
    <row r="29" spans="1:10" hidden="1">
      <c r="A29" s="34" t="s">
        <v>24</v>
      </c>
      <c r="B29" s="35" t="s">
        <v>106</v>
      </c>
      <c r="C29" s="35"/>
      <c r="D29" s="35" t="s">
        <v>107</v>
      </c>
      <c r="E29" s="36" t="s">
        <v>19</v>
      </c>
      <c r="F29" s="36" t="s">
        <v>20</v>
      </c>
      <c r="G29" s="36" t="s">
        <v>236</v>
      </c>
      <c r="H29" s="37">
        <v>4</v>
      </c>
      <c r="I29" s="37"/>
      <c r="J29" s="38"/>
    </row>
    <row r="30" spans="1:10" hidden="1">
      <c r="A30" s="34" t="s">
        <v>24</v>
      </c>
      <c r="B30" s="35" t="s">
        <v>108</v>
      </c>
      <c r="C30" s="35"/>
      <c r="D30" s="35" t="s">
        <v>109</v>
      </c>
      <c r="E30" s="36" t="s">
        <v>19</v>
      </c>
      <c r="F30" s="36" t="s">
        <v>20</v>
      </c>
      <c r="G30" s="36" t="s">
        <v>236</v>
      </c>
      <c r="H30" s="37">
        <v>2</v>
      </c>
      <c r="I30" s="37"/>
      <c r="J30" s="38"/>
    </row>
    <row r="31" spans="1:10" hidden="1">
      <c r="A31" s="34" t="s">
        <v>24</v>
      </c>
      <c r="B31" s="35" t="s">
        <v>108</v>
      </c>
      <c r="C31" s="35"/>
      <c r="D31" s="35" t="s">
        <v>110</v>
      </c>
      <c r="E31" s="36" t="s">
        <v>19</v>
      </c>
      <c r="F31" s="36" t="s">
        <v>20</v>
      </c>
      <c r="G31" s="36" t="s">
        <v>236</v>
      </c>
      <c r="H31" s="37">
        <v>4</v>
      </c>
      <c r="I31" s="37"/>
      <c r="J31" s="38"/>
    </row>
    <row r="32" spans="1:10" hidden="1">
      <c r="A32" s="34" t="s">
        <v>24</v>
      </c>
      <c r="B32" s="35" t="s">
        <v>111</v>
      </c>
      <c r="C32" s="35"/>
      <c r="D32" s="35" t="s">
        <v>112</v>
      </c>
      <c r="E32" s="36" t="s">
        <v>19</v>
      </c>
      <c r="F32" s="36" t="s">
        <v>20</v>
      </c>
      <c r="G32" s="36" t="s">
        <v>236</v>
      </c>
      <c r="H32" s="37">
        <v>4</v>
      </c>
      <c r="I32" s="37"/>
      <c r="J32" s="38"/>
    </row>
    <row r="33" spans="1:10" hidden="1">
      <c r="A33" s="39" t="s">
        <v>23</v>
      </c>
      <c r="B33" s="40" t="s">
        <v>29</v>
      </c>
      <c r="C33" s="40"/>
      <c r="D33" s="40" t="s">
        <v>113</v>
      </c>
      <c r="E33" s="41" t="s">
        <v>19</v>
      </c>
      <c r="F33" s="41" t="s">
        <v>20</v>
      </c>
      <c r="G33" s="41" t="s">
        <v>236</v>
      </c>
      <c r="H33" s="42">
        <v>2</v>
      </c>
      <c r="I33" s="42"/>
      <c r="J33" s="43"/>
    </row>
    <row r="34" spans="1:10" hidden="1">
      <c r="A34" s="39" t="s">
        <v>23</v>
      </c>
      <c r="B34" s="40" t="s">
        <v>29</v>
      </c>
      <c r="C34" s="40"/>
      <c r="D34" s="40" t="s">
        <v>114</v>
      </c>
      <c r="E34" s="41" t="s">
        <v>19</v>
      </c>
      <c r="F34" s="41" t="s">
        <v>20</v>
      </c>
      <c r="G34" s="41" t="s">
        <v>236</v>
      </c>
      <c r="H34" s="42">
        <v>4</v>
      </c>
      <c r="I34" s="42"/>
      <c r="J34" s="43"/>
    </row>
    <row r="35" spans="1:10" hidden="1">
      <c r="A35" s="39" t="s">
        <v>23</v>
      </c>
      <c r="B35" s="40" t="s">
        <v>28</v>
      </c>
      <c r="C35" s="40"/>
      <c r="D35" s="40" t="s">
        <v>115</v>
      </c>
      <c r="E35" s="41" t="s">
        <v>19</v>
      </c>
      <c r="F35" s="41" t="s">
        <v>20</v>
      </c>
      <c r="G35" s="41" t="s">
        <v>236</v>
      </c>
      <c r="H35" s="42">
        <v>3</v>
      </c>
      <c r="I35" s="42"/>
      <c r="J35" s="43" t="s">
        <v>227</v>
      </c>
    </row>
    <row r="36" spans="1:10" hidden="1">
      <c r="A36" s="39" t="s">
        <v>23</v>
      </c>
      <c r="B36" s="40" t="s">
        <v>28</v>
      </c>
      <c r="C36" s="40"/>
      <c r="D36" s="40" t="s">
        <v>116</v>
      </c>
      <c r="E36" s="41" t="s">
        <v>19</v>
      </c>
      <c r="F36" s="41" t="s">
        <v>20</v>
      </c>
      <c r="G36" s="41" t="s">
        <v>236</v>
      </c>
      <c r="H36" s="42">
        <v>2</v>
      </c>
      <c r="I36" s="42"/>
      <c r="J36" s="43"/>
    </row>
    <row r="37" spans="1:10">
      <c r="A37" s="44" t="s">
        <v>32</v>
      </c>
      <c r="B37" s="45" t="s">
        <v>15</v>
      </c>
      <c r="C37" s="45"/>
      <c r="D37" s="45" t="s">
        <v>117</v>
      </c>
      <c r="E37" s="46" t="s">
        <v>19</v>
      </c>
      <c r="F37" s="46" t="s">
        <v>20</v>
      </c>
      <c r="G37" s="46" t="s">
        <v>237</v>
      </c>
      <c r="H37" s="47">
        <v>3</v>
      </c>
      <c r="I37" s="47"/>
      <c r="J37" s="48" t="s">
        <v>118</v>
      </c>
    </row>
    <row r="38" spans="1:10">
      <c r="A38" s="44" t="s">
        <v>32</v>
      </c>
      <c r="B38" s="45" t="s">
        <v>15</v>
      </c>
      <c r="C38" s="45"/>
      <c r="D38" s="45" t="s">
        <v>119</v>
      </c>
      <c r="E38" s="46" t="s">
        <v>19</v>
      </c>
      <c r="F38" s="46" t="s">
        <v>20</v>
      </c>
      <c r="G38" s="46" t="s">
        <v>237</v>
      </c>
      <c r="H38" s="47">
        <v>3</v>
      </c>
      <c r="I38" s="47"/>
      <c r="J38" s="48"/>
    </row>
    <row r="39" spans="1:10">
      <c r="A39" s="44" t="s">
        <v>32</v>
      </c>
      <c r="B39" s="45" t="s">
        <v>116</v>
      </c>
      <c r="C39" s="45"/>
      <c r="D39" s="45" t="s">
        <v>120</v>
      </c>
      <c r="E39" s="46" t="s">
        <v>19</v>
      </c>
      <c r="F39" s="46" t="s">
        <v>20</v>
      </c>
      <c r="G39" s="46" t="s">
        <v>237</v>
      </c>
      <c r="H39" s="47">
        <v>3</v>
      </c>
      <c r="I39" s="47"/>
      <c r="J39" s="48"/>
    </row>
    <row r="40" spans="1:10" hidden="1">
      <c r="A40" s="49" t="s">
        <v>52</v>
      </c>
      <c r="B40" s="50" t="s">
        <v>23</v>
      </c>
      <c r="C40" s="50"/>
      <c r="D40" s="50" t="s">
        <v>121</v>
      </c>
      <c r="E40" s="51" t="s">
        <v>19</v>
      </c>
      <c r="F40" s="51" t="s">
        <v>20</v>
      </c>
      <c r="G40" s="51" t="s">
        <v>236</v>
      </c>
      <c r="H40" s="52">
        <v>2</v>
      </c>
      <c r="I40" s="52"/>
      <c r="J40" s="53"/>
    </row>
    <row r="41" spans="1:10" hidden="1">
      <c r="A41" s="49" t="s">
        <v>52</v>
      </c>
      <c r="B41" s="50" t="s">
        <v>23</v>
      </c>
      <c r="C41" s="50"/>
      <c r="D41" s="50" t="s">
        <v>122</v>
      </c>
      <c r="E41" s="51" t="s">
        <v>19</v>
      </c>
      <c r="F41" s="51" t="s">
        <v>20</v>
      </c>
      <c r="G41" s="51" t="s">
        <v>236</v>
      </c>
      <c r="H41" s="52">
        <v>2</v>
      </c>
      <c r="I41" s="52"/>
      <c r="J41" s="53"/>
    </row>
    <row r="42" spans="1:10" hidden="1">
      <c r="A42" s="49" t="s">
        <v>52</v>
      </c>
      <c r="B42" s="50" t="s">
        <v>83</v>
      </c>
      <c r="C42" s="50"/>
      <c r="D42" s="50" t="s">
        <v>123</v>
      </c>
      <c r="E42" s="51" t="s">
        <v>19</v>
      </c>
      <c r="F42" s="51" t="s">
        <v>20</v>
      </c>
      <c r="G42" s="51" t="s">
        <v>236</v>
      </c>
      <c r="H42" s="52">
        <v>2</v>
      </c>
      <c r="I42" s="52"/>
      <c r="J42" s="53"/>
    </row>
    <row r="43" spans="1:10" hidden="1">
      <c r="A43" s="49" t="s">
        <v>52</v>
      </c>
      <c r="B43" s="50" t="s">
        <v>124</v>
      </c>
      <c r="C43" s="50"/>
      <c r="D43" s="50" t="s">
        <v>125</v>
      </c>
      <c r="E43" s="51" t="s">
        <v>19</v>
      </c>
      <c r="F43" s="51" t="s">
        <v>20</v>
      </c>
      <c r="G43" s="51" t="s">
        <v>236</v>
      </c>
      <c r="H43" s="52">
        <v>2</v>
      </c>
      <c r="I43" s="52"/>
      <c r="J43" s="53"/>
    </row>
    <row r="44" spans="1:10" hidden="1">
      <c r="A44" s="49" t="s">
        <v>52</v>
      </c>
      <c r="B44" s="50" t="s">
        <v>126</v>
      </c>
      <c r="C44" s="50"/>
      <c r="D44" s="50" t="s">
        <v>127</v>
      </c>
      <c r="E44" s="51" t="s">
        <v>19</v>
      </c>
      <c r="F44" s="51" t="s">
        <v>20</v>
      </c>
      <c r="G44" s="51" t="s">
        <v>236</v>
      </c>
      <c r="H44" s="52">
        <v>2</v>
      </c>
      <c r="I44" s="52"/>
      <c r="J44" s="53"/>
    </row>
    <row r="45" spans="1:10">
      <c r="A45" s="49" t="s">
        <v>52</v>
      </c>
      <c r="B45" s="50" t="s">
        <v>128</v>
      </c>
      <c r="C45" s="50"/>
      <c r="D45" s="50" t="s">
        <v>243</v>
      </c>
      <c r="E45" s="51" t="s">
        <v>19</v>
      </c>
      <c r="F45" s="51" t="s">
        <v>241</v>
      </c>
      <c r="G45" s="51" t="s">
        <v>237</v>
      </c>
      <c r="H45" s="52">
        <v>3</v>
      </c>
      <c r="I45" s="52"/>
      <c r="J45" s="53"/>
    </row>
    <row r="46" spans="1:10" hidden="1">
      <c r="A46" s="54" t="s">
        <v>41</v>
      </c>
      <c r="B46" s="55" t="s">
        <v>129</v>
      </c>
      <c r="C46" s="55"/>
      <c r="D46" s="55" t="s">
        <v>130</v>
      </c>
      <c r="E46" s="56" t="s">
        <v>19</v>
      </c>
      <c r="F46" s="56" t="s">
        <v>20</v>
      </c>
      <c r="G46" s="56" t="s">
        <v>236</v>
      </c>
      <c r="H46" s="57">
        <v>0.5</v>
      </c>
      <c r="I46" s="57"/>
      <c r="J46" s="58"/>
    </row>
    <row r="47" spans="1:10" hidden="1">
      <c r="A47" s="54" t="s">
        <v>41</v>
      </c>
      <c r="B47" s="55" t="s">
        <v>129</v>
      </c>
      <c r="C47" s="55"/>
      <c r="D47" s="55" t="s">
        <v>131</v>
      </c>
      <c r="E47" s="56" t="s">
        <v>19</v>
      </c>
      <c r="F47" s="56" t="s">
        <v>20</v>
      </c>
      <c r="G47" s="56" t="s">
        <v>236</v>
      </c>
      <c r="H47" s="57">
        <v>0.5</v>
      </c>
      <c r="I47" s="57"/>
      <c r="J47" s="58"/>
    </row>
    <row r="48" spans="1:10">
      <c r="A48" s="54" t="s">
        <v>41</v>
      </c>
      <c r="B48" s="55" t="s">
        <v>89</v>
      </c>
      <c r="C48" s="55"/>
      <c r="D48" s="55" t="s">
        <v>132</v>
      </c>
      <c r="E48" s="56" t="s">
        <v>19</v>
      </c>
      <c r="F48" s="56" t="s">
        <v>20</v>
      </c>
      <c r="G48" s="56" t="s">
        <v>21</v>
      </c>
      <c r="H48" s="57">
        <v>3</v>
      </c>
      <c r="I48" s="57"/>
      <c r="J48" s="58"/>
    </row>
    <row r="49" spans="1:10" hidden="1">
      <c r="A49" s="54" t="s">
        <v>41</v>
      </c>
      <c r="B49" s="55" t="s">
        <v>126</v>
      </c>
      <c r="C49" s="55"/>
      <c r="D49" s="55" t="s">
        <v>133</v>
      </c>
      <c r="E49" s="56" t="s">
        <v>19</v>
      </c>
      <c r="F49" s="56" t="s">
        <v>20</v>
      </c>
      <c r="G49" s="56" t="s">
        <v>236</v>
      </c>
      <c r="H49" s="57">
        <v>2</v>
      </c>
      <c r="I49" s="57"/>
      <c r="J49" s="58"/>
    </row>
    <row r="50" spans="1:10">
      <c r="A50" s="54" t="s">
        <v>41</v>
      </c>
      <c r="B50" s="55" t="s">
        <v>116</v>
      </c>
      <c r="C50" s="55"/>
      <c r="D50" s="55" t="s">
        <v>134</v>
      </c>
      <c r="E50" s="56" t="s">
        <v>26</v>
      </c>
      <c r="F50" s="56" t="s">
        <v>20</v>
      </c>
      <c r="G50" s="56" t="s">
        <v>21</v>
      </c>
      <c r="H50" s="57">
        <v>3</v>
      </c>
      <c r="I50" s="57"/>
      <c r="J50" s="58" t="s">
        <v>244</v>
      </c>
    </row>
    <row r="51" spans="1:10" hidden="1">
      <c r="A51" s="59" t="s">
        <v>50</v>
      </c>
      <c r="B51" s="60" t="s">
        <v>135</v>
      </c>
      <c r="C51" s="60"/>
      <c r="D51" s="60" t="s">
        <v>136</v>
      </c>
      <c r="E51" s="61" t="s">
        <v>19</v>
      </c>
      <c r="F51" s="61" t="s">
        <v>20</v>
      </c>
      <c r="G51" s="61" t="s">
        <v>236</v>
      </c>
      <c r="H51" s="62">
        <v>5</v>
      </c>
      <c r="I51" s="62"/>
      <c r="J51" s="63"/>
    </row>
    <row r="52" spans="1:10" hidden="1">
      <c r="A52" s="59" t="s">
        <v>50</v>
      </c>
      <c r="B52" s="60" t="s">
        <v>135</v>
      </c>
      <c r="C52" s="60"/>
      <c r="D52" s="60" t="s">
        <v>245</v>
      </c>
      <c r="E52" s="61" t="s">
        <v>19</v>
      </c>
      <c r="F52" s="61" t="s">
        <v>20</v>
      </c>
      <c r="G52" s="61" t="s">
        <v>236</v>
      </c>
      <c r="H52" s="62">
        <v>10</v>
      </c>
      <c r="I52" s="62"/>
      <c r="J52" s="63" t="s">
        <v>246</v>
      </c>
    </row>
    <row r="53" spans="1:10" hidden="1">
      <c r="A53" s="59" t="s">
        <v>50</v>
      </c>
      <c r="B53" s="60" t="s">
        <v>135</v>
      </c>
      <c r="C53" s="60"/>
      <c r="D53" s="60" t="s">
        <v>137</v>
      </c>
      <c r="E53" s="61" t="s">
        <v>19</v>
      </c>
      <c r="F53" s="61" t="s">
        <v>20</v>
      </c>
      <c r="G53" s="61" t="s">
        <v>236</v>
      </c>
      <c r="H53" s="62">
        <v>2</v>
      </c>
      <c r="I53" s="62"/>
      <c r="J53" s="63" t="s">
        <v>138</v>
      </c>
    </row>
    <row r="54" spans="1:10" hidden="1">
      <c r="A54" s="59" t="s">
        <v>50</v>
      </c>
      <c r="B54" s="60" t="s">
        <v>135</v>
      </c>
      <c r="C54" s="60"/>
      <c r="D54" s="60" t="s">
        <v>139</v>
      </c>
      <c r="E54" s="61" t="s">
        <v>19</v>
      </c>
      <c r="F54" s="61" t="s">
        <v>20</v>
      </c>
      <c r="G54" s="61" t="s">
        <v>236</v>
      </c>
      <c r="H54" s="62">
        <v>1</v>
      </c>
      <c r="I54" s="62"/>
      <c r="J54" s="63" t="s">
        <v>140</v>
      </c>
    </row>
    <row r="55" spans="1:10" hidden="1">
      <c r="A55" s="59" t="s">
        <v>50</v>
      </c>
      <c r="B55" s="60" t="s">
        <v>135</v>
      </c>
      <c r="C55" s="60"/>
      <c r="D55" s="60" t="s">
        <v>141</v>
      </c>
      <c r="E55" s="61" t="s">
        <v>19</v>
      </c>
      <c r="F55" s="61" t="s">
        <v>20</v>
      </c>
      <c r="G55" s="61" t="s">
        <v>236</v>
      </c>
      <c r="H55" s="62">
        <v>3</v>
      </c>
      <c r="I55" s="62"/>
      <c r="J55" s="63"/>
    </row>
    <row r="56" spans="1:10">
      <c r="A56" s="59" t="s">
        <v>50</v>
      </c>
      <c r="B56" s="60" t="s">
        <v>135</v>
      </c>
      <c r="C56" s="60"/>
      <c r="D56" s="60" t="s">
        <v>142</v>
      </c>
      <c r="E56" s="61" t="s">
        <v>26</v>
      </c>
      <c r="F56" s="61" t="s">
        <v>20</v>
      </c>
      <c r="G56" s="61" t="s">
        <v>21</v>
      </c>
      <c r="H56" s="62">
        <v>2</v>
      </c>
      <c r="I56" s="62"/>
      <c r="J56" s="63"/>
    </row>
    <row r="57" spans="1:10" hidden="1">
      <c r="A57" s="59" t="s">
        <v>50</v>
      </c>
      <c r="B57" s="60" t="s">
        <v>135</v>
      </c>
      <c r="C57" s="60"/>
      <c r="D57" s="60" t="s">
        <v>143</v>
      </c>
      <c r="E57" s="61" t="s">
        <v>19</v>
      </c>
      <c r="F57" s="61" t="s">
        <v>20</v>
      </c>
      <c r="G57" s="61" t="s">
        <v>236</v>
      </c>
      <c r="H57" s="62">
        <v>0.5</v>
      </c>
      <c r="I57" s="62"/>
      <c r="J57" s="63"/>
    </row>
    <row r="58" spans="1:10" hidden="1">
      <c r="A58" s="59" t="s">
        <v>50</v>
      </c>
      <c r="B58" s="60" t="s">
        <v>135</v>
      </c>
      <c r="C58" s="60"/>
      <c r="D58" s="60" t="s">
        <v>144</v>
      </c>
      <c r="E58" s="61" t="s">
        <v>19</v>
      </c>
      <c r="F58" s="61" t="s">
        <v>20</v>
      </c>
      <c r="G58" s="61" t="s">
        <v>236</v>
      </c>
      <c r="H58" s="62">
        <v>0.5</v>
      </c>
      <c r="I58" s="62"/>
      <c r="J58" s="63"/>
    </row>
    <row r="59" spans="1:10">
      <c r="A59" s="59" t="s">
        <v>50</v>
      </c>
      <c r="B59" s="60" t="s">
        <v>135</v>
      </c>
      <c r="C59" s="60"/>
      <c r="D59" s="60" t="s">
        <v>145</v>
      </c>
      <c r="E59" s="61" t="s">
        <v>26</v>
      </c>
      <c r="F59" s="61" t="s">
        <v>20</v>
      </c>
      <c r="G59" s="61" t="s">
        <v>21</v>
      </c>
      <c r="H59" s="62">
        <v>2</v>
      </c>
      <c r="I59" s="62"/>
      <c r="J59" s="63"/>
    </row>
    <row r="60" spans="1:10" hidden="1">
      <c r="A60" s="59" t="s">
        <v>50</v>
      </c>
      <c r="B60" s="60" t="s">
        <v>51</v>
      </c>
      <c r="C60" s="60"/>
      <c r="D60" s="60" t="s">
        <v>146</v>
      </c>
      <c r="E60" s="61" t="s">
        <v>19</v>
      </c>
      <c r="F60" s="61" t="s">
        <v>20</v>
      </c>
      <c r="G60" s="61" t="s">
        <v>236</v>
      </c>
      <c r="H60" s="62">
        <v>3</v>
      </c>
      <c r="I60" s="62"/>
      <c r="J60" s="63"/>
    </row>
    <row r="61" spans="1:10" hidden="1">
      <c r="A61" s="59" t="s">
        <v>50</v>
      </c>
      <c r="B61" s="60" t="s">
        <v>51</v>
      </c>
      <c r="C61" s="60"/>
      <c r="D61" s="60" t="s">
        <v>147</v>
      </c>
      <c r="E61" s="61" t="s">
        <v>19</v>
      </c>
      <c r="F61" s="61" t="s">
        <v>20</v>
      </c>
      <c r="G61" s="61" t="s">
        <v>236</v>
      </c>
      <c r="H61" s="62">
        <v>2</v>
      </c>
      <c r="I61" s="62"/>
      <c r="J61" s="63"/>
    </row>
    <row r="62" spans="1:10">
      <c r="A62" s="59" t="s">
        <v>50</v>
      </c>
      <c r="B62" s="60" t="s">
        <v>51</v>
      </c>
      <c r="C62" s="60"/>
      <c r="D62" s="60" t="s">
        <v>148</v>
      </c>
      <c r="E62" s="61" t="s">
        <v>19</v>
      </c>
      <c r="F62" s="61" t="s">
        <v>20</v>
      </c>
      <c r="G62" s="61" t="s">
        <v>21</v>
      </c>
      <c r="H62" s="62">
        <v>3</v>
      </c>
      <c r="I62" s="62"/>
      <c r="J62" s="63"/>
    </row>
    <row r="63" spans="1:10">
      <c r="A63" s="59" t="s">
        <v>50</v>
      </c>
      <c r="B63" s="60" t="s">
        <v>149</v>
      </c>
      <c r="C63" s="60"/>
      <c r="D63" s="60" t="s">
        <v>150</v>
      </c>
      <c r="E63" s="61" t="s">
        <v>26</v>
      </c>
      <c r="F63" s="61" t="s">
        <v>20</v>
      </c>
      <c r="G63" s="61" t="s">
        <v>21</v>
      </c>
      <c r="H63" s="62">
        <v>3</v>
      </c>
      <c r="I63" s="62"/>
      <c r="J63" s="63" t="s">
        <v>151</v>
      </c>
    </row>
    <row r="64" spans="1:10">
      <c r="A64" s="59" t="s">
        <v>50</v>
      </c>
      <c r="B64" s="60" t="s">
        <v>149</v>
      </c>
      <c r="C64" s="60"/>
      <c r="D64" s="60" t="s">
        <v>152</v>
      </c>
      <c r="E64" s="61" t="s">
        <v>26</v>
      </c>
      <c r="F64" s="61" t="s">
        <v>20</v>
      </c>
      <c r="G64" s="61" t="s">
        <v>21</v>
      </c>
      <c r="H64" s="62">
        <v>2</v>
      </c>
      <c r="I64" s="62"/>
      <c r="J64" s="63"/>
    </row>
    <row r="65" spans="1:10">
      <c r="A65" s="59" t="s">
        <v>50</v>
      </c>
      <c r="B65" s="60" t="s">
        <v>149</v>
      </c>
      <c r="C65" s="60"/>
      <c r="D65" s="60" t="s">
        <v>153</v>
      </c>
      <c r="E65" s="61" t="s">
        <v>26</v>
      </c>
      <c r="F65" s="61" t="s">
        <v>20</v>
      </c>
      <c r="G65" s="61" t="s">
        <v>21</v>
      </c>
      <c r="H65" s="62">
        <v>2</v>
      </c>
      <c r="I65" s="62"/>
      <c r="J65" s="63" t="s">
        <v>154</v>
      </c>
    </row>
    <row r="66" spans="1:10">
      <c r="A66" s="59" t="s">
        <v>50</v>
      </c>
      <c r="B66" s="60" t="s">
        <v>149</v>
      </c>
      <c r="C66" s="60"/>
      <c r="D66" s="60" t="s">
        <v>155</v>
      </c>
      <c r="E66" s="61" t="s">
        <v>26</v>
      </c>
      <c r="F66" s="61" t="s">
        <v>20</v>
      </c>
      <c r="G66" s="61" t="s">
        <v>21</v>
      </c>
      <c r="H66" s="62">
        <v>2</v>
      </c>
      <c r="I66" s="62"/>
      <c r="J66" s="63"/>
    </row>
    <row r="67" spans="1:10">
      <c r="A67" s="59" t="s">
        <v>50</v>
      </c>
      <c r="B67" s="60" t="s">
        <v>149</v>
      </c>
      <c r="C67" s="60"/>
      <c r="D67" s="60" t="s">
        <v>148</v>
      </c>
      <c r="E67" s="61" t="s">
        <v>26</v>
      </c>
      <c r="F67" s="61" t="s">
        <v>20</v>
      </c>
      <c r="G67" s="61" t="s">
        <v>21</v>
      </c>
      <c r="H67" s="62">
        <v>2</v>
      </c>
      <c r="I67" s="62"/>
      <c r="J67" s="63"/>
    </row>
    <row r="68" spans="1:10">
      <c r="A68" s="59" t="s">
        <v>50</v>
      </c>
      <c r="B68" s="60" t="s">
        <v>49</v>
      </c>
      <c r="C68" s="60"/>
      <c r="D68" s="60" t="s">
        <v>156</v>
      </c>
      <c r="E68" s="61" t="s">
        <v>26</v>
      </c>
      <c r="F68" s="61" t="s">
        <v>20</v>
      </c>
      <c r="G68" s="61" t="s">
        <v>21</v>
      </c>
      <c r="H68" s="62">
        <v>2</v>
      </c>
      <c r="I68" s="62"/>
      <c r="J68" s="63" t="s">
        <v>157</v>
      </c>
    </row>
    <row r="69" spans="1:10">
      <c r="A69" s="59" t="s">
        <v>50</v>
      </c>
      <c r="B69" s="60" t="s">
        <v>49</v>
      </c>
      <c r="C69" s="60"/>
      <c r="D69" s="60" t="s">
        <v>158</v>
      </c>
      <c r="E69" s="61" t="s">
        <v>26</v>
      </c>
      <c r="F69" s="61" t="s">
        <v>20</v>
      </c>
      <c r="G69" s="61" t="s">
        <v>21</v>
      </c>
      <c r="H69" s="62">
        <v>2</v>
      </c>
      <c r="I69" s="62"/>
      <c r="J69" s="63" t="s">
        <v>159</v>
      </c>
    </row>
    <row r="70" spans="1:10">
      <c r="A70" s="59" t="s">
        <v>50</v>
      </c>
      <c r="B70" s="60" t="s">
        <v>49</v>
      </c>
      <c r="C70" s="60"/>
      <c r="D70" s="60" t="s">
        <v>160</v>
      </c>
      <c r="E70" s="61" t="s">
        <v>26</v>
      </c>
      <c r="F70" s="61" t="s">
        <v>20</v>
      </c>
      <c r="G70" s="61" t="s">
        <v>21</v>
      </c>
      <c r="H70" s="62">
        <v>2</v>
      </c>
      <c r="I70" s="62"/>
      <c r="J70" s="63" t="s">
        <v>161</v>
      </c>
    </row>
    <row r="71" spans="1:10">
      <c r="A71" s="59" t="s">
        <v>50</v>
      </c>
      <c r="B71" s="60" t="s">
        <v>49</v>
      </c>
      <c r="C71" s="60"/>
      <c r="D71" s="60" t="s">
        <v>162</v>
      </c>
      <c r="E71" s="61" t="s">
        <v>26</v>
      </c>
      <c r="F71" s="61" t="s">
        <v>20</v>
      </c>
      <c r="G71" s="61" t="s">
        <v>21</v>
      </c>
      <c r="H71" s="62">
        <v>2</v>
      </c>
      <c r="I71" s="62"/>
      <c r="J71" s="63" t="s">
        <v>163</v>
      </c>
    </row>
    <row r="72" spans="1:10">
      <c r="A72" s="59" t="s">
        <v>50</v>
      </c>
      <c r="B72" s="60" t="s">
        <v>49</v>
      </c>
      <c r="C72" s="60"/>
      <c r="D72" s="60" t="s">
        <v>164</v>
      </c>
      <c r="E72" s="61" t="s">
        <v>26</v>
      </c>
      <c r="F72" s="61" t="s">
        <v>20</v>
      </c>
      <c r="G72" s="61" t="s">
        <v>21</v>
      </c>
      <c r="H72" s="62">
        <v>2</v>
      </c>
      <c r="I72" s="62"/>
      <c r="J72" s="63" t="s">
        <v>165</v>
      </c>
    </row>
    <row r="73" spans="1:10">
      <c r="A73" s="59" t="s">
        <v>50</v>
      </c>
      <c r="B73" s="60" t="s">
        <v>49</v>
      </c>
      <c r="C73" s="60"/>
      <c r="D73" s="60" t="s">
        <v>166</v>
      </c>
      <c r="E73" s="61" t="s">
        <v>26</v>
      </c>
      <c r="F73" s="61" t="s">
        <v>20</v>
      </c>
      <c r="G73" s="61" t="s">
        <v>21</v>
      </c>
      <c r="H73" s="62">
        <v>2</v>
      </c>
      <c r="I73" s="62"/>
      <c r="J73" s="63" t="s">
        <v>167</v>
      </c>
    </row>
    <row r="74" spans="1:10">
      <c r="A74" s="59" t="s">
        <v>50</v>
      </c>
      <c r="B74" s="60" t="s">
        <v>49</v>
      </c>
      <c r="C74" s="60"/>
      <c r="D74" s="60" t="s">
        <v>168</v>
      </c>
      <c r="E74" s="61" t="s">
        <v>26</v>
      </c>
      <c r="F74" s="61" t="s">
        <v>20</v>
      </c>
      <c r="G74" s="61" t="s">
        <v>21</v>
      </c>
      <c r="H74" s="62">
        <v>2</v>
      </c>
      <c r="I74" s="62"/>
      <c r="J74" s="63"/>
    </row>
    <row r="75" spans="1:10">
      <c r="A75" s="59" t="s">
        <v>50</v>
      </c>
      <c r="B75" s="60" t="s">
        <v>49</v>
      </c>
      <c r="C75" s="60"/>
      <c r="D75" s="60" t="s">
        <v>169</v>
      </c>
      <c r="E75" s="61" t="s">
        <v>26</v>
      </c>
      <c r="F75" s="61" t="s">
        <v>20</v>
      </c>
      <c r="G75" s="61" t="s">
        <v>21</v>
      </c>
      <c r="H75" s="62">
        <v>2</v>
      </c>
      <c r="I75" s="62"/>
      <c r="J75" s="63"/>
    </row>
    <row r="76" spans="1:10">
      <c r="A76" s="59" t="s">
        <v>50</v>
      </c>
      <c r="B76" s="60" t="s">
        <v>49</v>
      </c>
      <c r="C76" s="60"/>
      <c r="D76" s="60" t="s">
        <v>170</v>
      </c>
      <c r="E76" s="61" t="s">
        <v>26</v>
      </c>
      <c r="F76" s="61" t="s">
        <v>20</v>
      </c>
      <c r="G76" s="61" t="s">
        <v>21</v>
      </c>
      <c r="H76" s="62">
        <v>2</v>
      </c>
      <c r="I76" s="62"/>
      <c r="J76" s="63"/>
    </row>
    <row r="77" spans="1:10" hidden="1">
      <c r="A77" s="64" t="s">
        <v>171</v>
      </c>
      <c r="B77" s="65" t="s">
        <v>172</v>
      </c>
      <c r="C77" s="65"/>
      <c r="D77" s="65" t="s">
        <v>173</v>
      </c>
      <c r="E77" s="66" t="s">
        <v>19</v>
      </c>
      <c r="F77" s="66" t="s">
        <v>20</v>
      </c>
      <c r="G77" s="66" t="s">
        <v>236</v>
      </c>
      <c r="H77" s="67">
        <v>1</v>
      </c>
      <c r="I77" s="67"/>
      <c r="J77" s="68"/>
    </row>
    <row r="78" spans="1:10" hidden="1">
      <c r="A78" s="64" t="s">
        <v>171</v>
      </c>
      <c r="B78" s="65" t="s">
        <v>174</v>
      </c>
      <c r="C78" s="65"/>
      <c r="D78" s="65" t="s">
        <v>175</v>
      </c>
      <c r="E78" s="66" t="s">
        <v>19</v>
      </c>
      <c r="F78" s="66" t="s">
        <v>20</v>
      </c>
      <c r="G78" s="66" t="s">
        <v>247</v>
      </c>
      <c r="H78" s="67">
        <v>1</v>
      </c>
      <c r="I78" s="67"/>
      <c r="J78" s="68"/>
    </row>
    <row r="79" spans="1:10" hidden="1">
      <c r="A79" s="64" t="s">
        <v>171</v>
      </c>
      <c r="B79" s="65" t="s">
        <v>176</v>
      </c>
      <c r="C79" s="65"/>
      <c r="D79" s="65" t="s">
        <v>177</v>
      </c>
      <c r="E79" s="66" t="s">
        <v>19</v>
      </c>
      <c r="F79" s="66" t="s">
        <v>20</v>
      </c>
      <c r="G79" s="66" t="s">
        <v>247</v>
      </c>
      <c r="H79" s="67">
        <v>1</v>
      </c>
      <c r="I79" s="67"/>
      <c r="J79" s="68"/>
    </row>
    <row r="80" spans="1:10" hidden="1">
      <c r="A80" s="64" t="s">
        <v>171</v>
      </c>
      <c r="B80" s="65" t="s">
        <v>178</v>
      </c>
      <c r="C80" s="65"/>
      <c r="D80" s="65" t="s">
        <v>179</v>
      </c>
      <c r="E80" s="66" t="s">
        <v>19</v>
      </c>
      <c r="F80" s="66" t="s">
        <v>20</v>
      </c>
      <c r="G80" s="66" t="s">
        <v>247</v>
      </c>
      <c r="H80" s="67">
        <v>1</v>
      </c>
      <c r="I80" s="67"/>
      <c r="J80" s="68" t="s">
        <v>180</v>
      </c>
    </row>
    <row r="81" spans="1:10" hidden="1">
      <c r="A81" s="64" t="s">
        <v>171</v>
      </c>
      <c r="B81" s="65" t="s">
        <v>181</v>
      </c>
      <c r="C81" s="65"/>
      <c r="D81" s="65" t="s">
        <v>182</v>
      </c>
      <c r="E81" s="66" t="s">
        <v>19</v>
      </c>
      <c r="F81" s="66" t="s">
        <v>20</v>
      </c>
      <c r="G81" s="66" t="s">
        <v>247</v>
      </c>
      <c r="H81" s="67">
        <v>1</v>
      </c>
      <c r="I81" s="67"/>
      <c r="J81" s="68"/>
    </row>
    <row r="82" spans="1:10" hidden="1">
      <c r="A82" s="69" t="s">
        <v>183</v>
      </c>
      <c r="B82" s="70" t="s">
        <v>184</v>
      </c>
      <c r="C82" s="70"/>
      <c r="D82" s="70" t="s">
        <v>185</v>
      </c>
      <c r="E82" s="71" t="s">
        <v>26</v>
      </c>
      <c r="F82" s="71" t="s">
        <v>20</v>
      </c>
      <c r="G82" s="71" t="s">
        <v>236</v>
      </c>
      <c r="H82" s="72">
        <v>1</v>
      </c>
      <c r="I82" s="72"/>
      <c r="J82" s="73"/>
    </row>
    <row r="83" spans="1:10" hidden="1">
      <c r="A83" s="69" t="s">
        <v>183</v>
      </c>
      <c r="B83" s="70" t="s">
        <v>184</v>
      </c>
      <c r="C83" s="70"/>
      <c r="D83" s="70" t="s">
        <v>186</v>
      </c>
      <c r="E83" s="71" t="s">
        <v>26</v>
      </c>
      <c r="F83" s="71" t="s">
        <v>20</v>
      </c>
      <c r="G83" s="71" t="s">
        <v>236</v>
      </c>
      <c r="H83" s="72">
        <v>1</v>
      </c>
      <c r="I83" s="72"/>
      <c r="J83" s="73"/>
    </row>
    <row r="84" spans="1:10">
      <c r="A84" s="69" t="s">
        <v>183</v>
      </c>
      <c r="B84" s="70" t="s">
        <v>184</v>
      </c>
      <c r="C84" s="70"/>
      <c r="D84" s="70" t="s">
        <v>187</v>
      </c>
      <c r="E84" s="71" t="s">
        <v>26</v>
      </c>
      <c r="F84" s="71" t="s">
        <v>20</v>
      </c>
      <c r="G84" s="71" t="s">
        <v>21</v>
      </c>
      <c r="H84" s="72">
        <v>2</v>
      </c>
      <c r="I84" s="72"/>
      <c r="J84" s="73"/>
    </row>
    <row r="85" spans="1:10">
      <c r="A85" s="69" t="s">
        <v>183</v>
      </c>
      <c r="B85" s="70" t="s">
        <v>184</v>
      </c>
      <c r="C85" s="70"/>
      <c r="D85" s="70" t="s">
        <v>188</v>
      </c>
      <c r="E85" s="71" t="s">
        <v>26</v>
      </c>
      <c r="F85" s="71" t="s">
        <v>20</v>
      </c>
      <c r="G85" s="71" t="s">
        <v>21</v>
      </c>
      <c r="H85" s="72">
        <v>3</v>
      </c>
      <c r="I85" s="72"/>
      <c r="J85" s="73"/>
    </row>
    <row r="86" spans="1:10">
      <c r="A86" s="74" t="s">
        <v>33</v>
      </c>
      <c r="B86" s="75" t="s">
        <v>34</v>
      </c>
      <c r="C86" s="75"/>
      <c r="D86" s="75" t="s">
        <v>126</v>
      </c>
      <c r="E86" s="76" t="s">
        <v>26</v>
      </c>
      <c r="F86" s="76" t="s">
        <v>20</v>
      </c>
      <c r="G86" s="76" t="s">
        <v>21</v>
      </c>
      <c r="H86" s="77">
        <v>3</v>
      </c>
      <c r="I86" s="77"/>
      <c r="J86" s="78"/>
    </row>
    <row r="87" spans="1:10">
      <c r="A87" s="74" t="s">
        <v>33</v>
      </c>
      <c r="B87" s="75" t="s">
        <v>34</v>
      </c>
      <c r="C87" s="75"/>
      <c r="D87" s="75" t="s">
        <v>189</v>
      </c>
      <c r="E87" s="76" t="s">
        <v>26</v>
      </c>
      <c r="F87" s="76" t="s">
        <v>20</v>
      </c>
      <c r="G87" s="76" t="s">
        <v>21</v>
      </c>
      <c r="H87" s="77">
        <v>3</v>
      </c>
      <c r="I87" s="77"/>
      <c r="J87" s="78" t="s">
        <v>190</v>
      </c>
    </row>
    <row r="88" spans="1:10">
      <c r="A88" s="74" t="s">
        <v>33</v>
      </c>
      <c r="B88" s="75" t="s">
        <v>34</v>
      </c>
      <c r="C88" s="75"/>
      <c r="D88" s="75" t="s">
        <v>191</v>
      </c>
      <c r="E88" s="76" t="s">
        <v>26</v>
      </c>
      <c r="F88" s="76" t="s">
        <v>20</v>
      </c>
      <c r="G88" s="76" t="s">
        <v>21</v>
      </c>
      <c r="H88" s="77">
        <v>1</v>
      </c>
      <c r="I88" s="77"/>
      <c r="J88" s="78"/>
    </row>
    <row r="89" spans="1:10">
      <c r="A89" s="74" t="s">
        <v>33</v>
      </c>
      <c r="B89" s="75" t="s">
        <v>34</v>
      </c>
      <c r="C89" s="75"/>
      <c r="D89" s="75" t="s">
        <v>192</v>
      </c>
      <c r="E89" s="76" t="s">
        <v>26</v>
      </c>
      <c r="F89" s="76" t="s">
        <v>20</v>
      </c>
      <c r="G89" s="76" t="s">
        <v>21</v>
      </c>
      <c r="H89" s="77">
        <v>3</v>
      </c>
      <c r="I89" s="77"/>
      <c r="J89" s="78"/>
    </row>
    <row r="90" spans="1:10">
      <c r="A90" s="74" t="s">
        <v>33</v>
      </c>
      <c r="B90" s="75" t="s">
        <v>53</v>
      </c>
      <c r="C90" s="75"/>
      <c r="D90" s="75" t="s">
        <v>126</v>
      </c>
      <c r="E90" s="76" t="s">
        <v>26</v>
      </c>
      <c r="F90" s="76" t="s">
        <v>20</v>
      </c>
      <c r="G90" s="76" t="s">
        <v>21</v>
      </c>
      <c r="H90" s="77">
        <v>2</v>
      </c>
      <c r="I90" s="77"/>
      <c r="J90" s="78"/>
    </row>
    <row r="91" spans="1:10">
      <c r="A91" s="74" t="s">
        <v>33</v>
      </c>
      <c r="B91" s="75" t="s">
        <v>53</v>
      </c>
      <c r="C91" s="75"/>
      <c r="D91" s="75" t="s">
        <v>193</v>
      </c>
      <c r="E91" s="76" t="s">
        <v>26</v>
      </c>
      <c r="F91" s="76" t="s">
        <v>20</v>
      </c>
      <c r="G91" s="76" t="s">
        <v>21</v>
      </c>
      <c r="H91" s="77">
        <v>2</v>
      </c>
      <c r="I91" s="77"/>
      <c r="J91" s="78"/>
    </row>
    <row r="92" spans="1:10">
      <c r="A92" s="74" t="s">
        <v>33</v>
      </c>
      <c r="B92" s="75" t="s">
        <v>53</v>
      </c>
      <c r="C92" s="75"/>
      <c r="D92" s="75" t="s">
        <v>194</v>
      </c>
      <c r="E92" s="76" t="s">
        <v>26</v>
      </c>
      <c r="F92" s="76" t="s">
        <v>20</v>
      </c>
      <c r="G92" s="76" t="s">
        <v>21</v>
      </c>
      <c r="H92" s="77">
        <v>2</v>
      </c>
      <c r="I92" s="77"/>
      <c r="J92" s="78" t="s">
        <v>195</v>
      </c>
    </row>
    <row r="93" spans="1:10">
      <c r="A93" s="74" t="s">
        <v>33</v>
      </c>
      <c r="B93" s="75" t="s">
        <v>53</v>
      </c>
      <c r="C93" s="75"/>
      <c r="D93" s="75" t="s">
        <v>196</v>
      </c>
      <c r="E93" s="76" t="s">
        <v>26</v>
      </c>
      <c r="F93" s="76" t="s">
        <v>20</v>
      </c>
      <c r="G93" s="76" t="s">
        <v>21</v>
      </c>
      <c r="H93" s="77">
        <v>2</v>
      </c>
      <c r="I93" s="77"/>
      <c r="J93" s="78"/>
    </row>
    <row r="94" spans="1:10">
      <c r="A94" s="74" t="s">
        <v>33</v>
      </c>
      <c r="B94" s="75" t="s">
        <v>53</v>
      </c>
      <c r="C94" s="75"/>
      <c r="D94" s="75" t="s">
        <v>197</v>
      </c>
      <c r="E94" s="76" t="s">
        <v>26</v>
      </c>
      <c r="F94" s="76" t="s">
        <v>20</v>
      </c>
      <c r="G94" s="76" t="s">
        <v>21</v>
      </c>
      <c r="H94" s="77">
        <v>2</v>
      </c>
      <c r="I94" s="77"/>
      <c r="J94" s="78"/>
    </row>
    <row r="95" spans="1:10">
      <c r="A95" s="74" t="s">
        <v>33</v>
      </c>
      <c r="B95" s="75" t="s">
        <v>135</v>
      </c>
      <c r="C95" s="75"/>
      <c r="D95" s="75" t="s">
        <v>198</v>
      </c>
      <c r="E95" s="76" t="s">
        <v>26</v>
      </c>
      <c r="F95" s="76" t="s">
        <v>20</v>
      </c>
      <c r="G95" s="76" t="s">
        <v>21</v>
      </c>
      <c r="H95" s="77">
        <v>1</v>
      </c>
      <c r="I95" s="77"/>
      <c r="J95" s="78"/>
    </row>
    <row r="96" spans="1:10">
      <c r="A96" s="79" t="s">
        <v>35</v>
      </c>
      <c r="B96" s="80" t="s">
        <v>36</v>
      </c>
      <c r="C96" s="80"/>
      <c r="D96" s="80" t="s">
        <v>199</v>
      </c>
      <c r="E96" s="81" t="s">
        <v>37</v>
      </c>
      <c r="F96" s="81" t="s">
        <v>20</v>
      </c>
      <c r="G96" s="81" t="s">
        <v>21</v>
      </c>
      <c r="H96" s="82">
        <v>3</v>
      </c>
      <c r="I96" s="82"/>
      <c r="J96" s="83"/>
    </row>
    <row r="97" spans="1:10">
      <c r="A97" s="79" t="s">
        <v>35</v>
      </c>
      <c r="B97" s="80" t="s">
        <v>36</v>
      </c>
      <c r="C97" s="80"/>
      <c r="D97" s="80" t="s">
        <v>200</v>
      </c>
      <c r="E97" s="81" t="s">
        <v>37</v>
      </c>
      <c r="F97" s="81" t="s">
        <v>20</v>
      </c>
      <c r="G97" s="81" t="s">
        <v>21</v>
      </c>
      <c r="H97" s="82">
        <v>3</v>
      </c>
      <c r="I97" s="82"/>
      <c r="J97" s="83"/>
    </row>
    <row r="98" spans="1:10">
      <c r="A98" s="79" t="s">
        <v>35</v>
      </c>
      <c r="B98" s="80" t="s">
        <v>201</v>
      </c>
      <c r="C98" s="80"/>
      <c r="D98" s="80" t="s">
        <v>202</v>
      </c>
      <c r="E98" s="81" t="s">
        <v>37</v>
      </c>
      <c r="F98" s="81" t="s">
        <v>20</v>
      </c>
      <c r="G98" s="81" t="s">
        <v>21</v>
      </c>
      <c r="H98" s="82">
        <v>2</v>
      </c>
      <c r="I98" s="82"/>
      <c r="J98" s="83"/>
    </row>
    <row r="99" spans="1:10">
      <c r="A99" s="79" t="s">
        <v>35</v>
      </c>
      <c r="B99" s="80" t="s">
        <v>38</v>
      </c>
      <c r="C99" s="80"/>
      <c r="D99" s="80" t="s">
        <v>203</v>
      </c>
      <c r="E99" s="81" t="s">
        <v>37</v>
      </c>
      <c r="F99" s="81" t="s">
        <v>20</v>
      </c>
      <c r="G99" s="81" t="s">
        <v>21</v>
      </c>
      <c r="H99" s="82">
        <v>3</v>
      </c>
      <c r="I99" s="82"/>
      <c r="J99" s="83" t="s">
        <v>204</v>
      </c>
    </row>
    <row r="100" spans="1:10">
      <c r="A100" s="79" t="s">
        <v>35</v>
      </c>
      <c r="B100" s="80" t="s">
        <v>38</v>
      </c>
      <c r="C100" s="80"/>
      <c r="D100" s="80" t="s">
        <v>205</v>
      </c>
      <c r="E100" s="81" t="s">
        <v>37</v>
      </c>
      <c r="F100" s="81" t="s">
        <v>20</v>
      </c>
      <c r="G100" s="81" t="s">
        <v>21</v>
      </c>
      <c r="H100" s="82">
        <v>4</v>
      </c>
      <c r="I100" s="82"/>
      <c r="J100" s="83" t="s">
        <v>206</v>
      </c>
    </row>
    <row r="101" spans="1:10">
      <c r="A101" s="79" t="s">
        <v>35</v>
      </c>
      <c r="B101" s="80" t="s">
        <v>39</v>
      </c>
      <c r="C101" s="80"/>
      <c r="D101" s="80" t="s">
        <v>39</v>
      </c>
      <c r="E101" s="81" t="s">
        <v>37</v>
      </c>
      <c r="F101" s="81" t="s">
        <v>20</v>
      </c>
      <c r="G101" s="81" t="s">
        <v>21</v>
      </c>
      <c r="H101" s="82">
        <v>3</v>
      </c>
      <c r="I101" s="82"/>
      <c r="J101" s="83" t="s">
        <v>207</v>
      </c>
    </row>
    <row r="102" spans="1:10">
      <c r="A102" s="79" t="s">
        <v>35</v>
      </c>
      <c r="B102" s="80" t="s">
        <v>40</v>
      </c>
      <c r="C102" s="80"/>
      <c r="D102" s="80" t="s">
        <v>208</v>
      </c>
      <c r="E102" s="81" t="s">
        <v>37</v>
      </c>
      <c r="F102" s="81" t="s">
        <v>20</v>
      </c>
      <c r="G102" s="81" t="s">
        <v>21</v>
      </c>
      <c r="H102" s="82">
        <v>4</v>
      </c>
      <c r="I102" s="82"/>
      <c r="J102" s="83" t="s">
        <v>209</v>
      </c>
    </row>
    <row r="103" spans="1:10">
      <c r="A103" s="84" t="s">
        <v>210</v>
      </c>
      <c r="B103" s="85" t="s">
        <v>40</v>
      </c>
      <c r="C103" s="85"/>
      <c r="D103" s="85" t="s">
        <v>211</v>
      </c>
      <c r="E103" s="86" t="s">
        <v>37</v>
      </c>
      <c r="F103" s="86" t="s">
        <v>20</v>
      </c>
      <c r="G103" s="86" t="s">
        <v>21</v>
      </c>
      <c r="H103" s="87">
        <v>1</v>
      </c>
      <c r="I103" s="87"/>
      <c r="J103" s="88"/>
    </row>
    <row r="104" spans="1:10">
      <c r="A104" s="84" t="s">
        <v>210</v>
      </c>
      <c r="B104" s="85" t="s">
        <v>40</v>
      </c>
      <c r="C104" s="85"/>
      <c r="D104" s="85" t="s">
        <v>212</v>
      </c>
      <c r="E104" s="86" t="s">
        <v>37</v>
      </c>
      <c r="F104" s="86" t="s">
        <v>20</v>
      </c>
      <c r="G104" s="86" t="s">
        <v>21</v>
      </c>
      <c r="H104" s="87">
        <v>1</v>
      </c>
      <c r="I104" s="87"/>
      <c r="J104" s="88"/>
    </row>
    <row r="105" spans="1:10">
      <c r="A105" s="84" t="s">
        <v>210</v>
      </c>
      <c r="B105" s="85" t="s">
        <v>40</v>
      </c>
      <c r="C105" s="85"/>
      <c r="D105" s="85" t="s">
        <v>213</v>
      </c>
      <c r="E105" s="86" t="s">
        <v>37</v>
      </c>
      <c r="F105" s="86" t="s">
        <v>20</v>
      </c>
      <c r="G105" s="86" t="s">
        <v>21</v>
      </c>
      <c r="H105" s="87">
        <v>1</v>
      </c>
      <c r="I105" s="87"/>
      <c r="J105" s="88"/>
    </row>
    <row r="106" spans="1:10">
      <c r="A106" s="84" t="s">
        <v>210</v>
      </c>
      <c r="B106" s="85" t="s">
        <v>40</v>
      </c>
      <c r="C106" s="85"/>
      <c r="D106" s="85" t="s">
        <v>214</v>
      </c>
      <c r="E106" s="86" t="s">
        <v>37</v>
      </c>
      <c r="F106" s="86" t="s">
        <v>20</v>
      </c>
      <c r="G106" s="86" t="s">
        <v>21</v>
      </c>
      <c r="H106" s="87">
        <v>1</v>
      </c>
      <c r="I106" s="87"/>
      <c r="J106" s="88"/>
    </row>
    <row r="107" spans="1:10">
      <c r="A107" s="84" t="s">
        <v>210</v>
      </c>
      <c r="B107" s="85" t="s">
        <v>40</v>
      </c>
      <c r="C107" s="85"/>
      <c r="D107" s="85" t="s">
        <v>215</v>
      </c>
      <c r="E107" s="86" t="s">
        <v>37</v>
      </c>
      <c r="F107" s="86" t="s">
        <v>20</v>
      </c>
      <c r="G107" s="86" t="s">
        <v>21</v>
      </c>
      <c r="H107" s="87">
        <v>1</v>
      </c>
      <c r="I107" s="87"/>
      <c r="J107" s="88"/>
    </row>
    <row r="108" spans="1:10">
      <c r="A108" s="84" t="s">
        <v>210</v>
      </c>
      <c r="B108" s="85" t="s">
        <v>38</v>
      </c>
      <c r="C108" s="85"/>
      <c r="D108" s="85" t="s">
        <v>216</v>
      </c>
      <c r="E108" s="86" t="s">
        <v>37</v>
      </c>
      <c r="F108" s="86" t="s">
        <v>20</v>
      </c>
      <c r="G108" s="86" t="s">
        <v>21</v>
      </c>
      <c r="H108" s="87">
        <v>1</v>
      </c>
      <c r="I108" s="87"/>
      <c r="J108" s="88"/>
    </row>
    <row r="109" spans="1:10">
      <c r="A109" s="84" t="s">
        <v>210</v>
      </c>
      <c r="B109" s="85" t="s">
        <v>38</v>
      </c>
      <c r="C109" s="85"/>
      <c r="D109" s="85" t="s">
        <v>217</v>
      </c>
      <c r="E109" s="86" t="s">
        <v>37</v>
      </c>
      <c r="F109" s="86" t="s">
        <v>20</v>
      </c>
      <c r="G109" s="86" t="s">
        <v>21</v>
      </c>
      <c r="H109" s="87">
        <v>1</v>
      </c>
      <c r="I109" s="87"/>
      <c r="J109" s="88"/>
    </row>
    <row r="110" spans="1:10">
      <c r="A110" s="84" t="s">
        <v>210</v>
      </c>
      <c r="B110" s="85" t="s">
        <v>38</v>
      </c>
      <c r="C110" s="85"/>
      <c r="D110" s="85" t="s">
        <v>218</v>
      </c>
      <c r="E110" s="86" t="s">
        <v>37</v>
      </c>
      <c r="F110" s="86" t="s">
        <v>20</v>
      </c>
      <c r="G110" s="86" t="s">
        <v>21</v>
      </c>
      <c r="H110" s="87">
        <v>1</v>
      </c>
      <c r="I110" s="87"/>
      <c r="J110" s="88"/>
    </row>
    <row r="111" spans="1:10" hidden="1">
      <c r="A111" s="84" t="s">
        <v>210</v>
      </c>
      <c r="B111" s="85" t="s">
        <v>39</v>
      </c>
      <c r="C111" s="85"/>
      <c r="D111" s="85" t="s">
        <v>216</v>
      </c>
      <c r="E111" s="86" t="s">
        <v>37</v>
      </c>
      <c r="F111" s="86" t="s">
        <v>20</v>
      </c>
      <c r="G111" s="86" t="s">
        <v>236</v>
      </c>
      <c r="H111" s="87">
        <v>1</v>
      </c>
      <c r="I111" s="87"/>
      <c r="J111" s="88"/>
    </row>
    <row r="112" spans="1:10">
      <c r="A112" s="84" t="s">
        <v>210</v>
      </c>
      <c r="B112" s="85" t="s">
        <v>39</v>
      </c>
      <c r="C112" s="85"/>
      <c r="D112" s="85" t="s">
        <v>219</v>
      </c>
      <c r="E112" s="86" t="s">
        <v>37</v>
      </c>
      <c r="F112" s="86" t="s">
        <v>20</v>
      </c>
      <c r="G112" s="86" t="s">
        <v>237</v>
      </c>
      <c r="H112" s="87">
        <v>1</v>
      </c>
      <c r="I112" s="87"/>
      <c r="J112" s="88"/>
    </row>
    <row r="113" spans="1:10">
      <c r="A113" s="89" t="s">
        <v>220</v>
      </c>
      <c r="B113" s="90" t="s">
        <v>148</v>
      </c>
      <c r="C113" s="90"/>
      <c r="D113" s="90" t="s">
        <v>221</v>
      </c>
      <c r="E113" s="91" t="s">
        <v>37</v>
      </c>
      <c r="F113" s="91" t="s">
        <v>20</v>
      </c>
      <c r="G113" s="91" t="s">
        <v>21</v>
      </c>
      <c r="H113" s="87">
        <v>10</v>
      </c>
      <c r="I113" s="92"/>
      <c r="J113" s="93" t="s">
        <v>222</v>
      </c>
    </row>
    <row r="114" spans="1:10">
      <c r="A114" s="89" t="s">
        <v>220</v>
      </c>
      <c r="B114" s="90" t="s">
        <v>148</v>
      </c>
      <c r="C114" s="90"/>
      <c r="D114" s="90" t="s">
        <v>223</v>
      </c>
      <c r="E114" s="91" t="s">
        <v>37</v>
      </c>
      <c r="F114" s="91" t="s">
        <v>20</v>
      </c>
      <c r="G114" s="91" t="s">
        <v>21</v>
      </c>
      <c r="H114" s="87">
        <v>10</v>
      </c>
      <c r="I114" s="92"/>
      <c r="J114" s="93"/>
    </row>
    <row r="115" spans="1:10">
      <c r="A115" s="89" t="s">
        <v>220</v>
      </c>
      <c r="B115" s="90" t="s">
        <v>148</v>
      </c>
      <c r="C115" s="90"/>
      <c r="D115" s="90" t="s">
        <v>224</v>
      </c>
      <c r="E115" s="91" t="s">
        <v>37</v>
      </c>
      <c r="F115" s="91" t="s">
        <v>20</v>
      </c>
      <c r="G115" s="91" t="s">
        <v>21</v>
      </c>
      <c r="H115" s="87">
        <v>10</v>
      </c>
      <c r="I115" s="92"/>
      <c r="J115" s="93"/>
    </row>
    <row r="116" spans="1:10">
      <c r="A116" s="89" t="s">
        <v>220</v>
      </c>
      <c r="B116" s="90" t="s">
        <v>225</v>
      </c>
      <c r="C116" s="90"/>
      <c r="D116" s="90" t="s">
        <v>226</v>
      </c>
      <c r="E116" s="91" t="s">
        <v>48</v>
      </c>
      <c r="F116" s="91" t="s">
        <v>20</v>
      </c>
      <c r="G116" s="91" t="s">
        <v>21</v>
      </c>
      <c r="H116" s="87">
        <v>1</v>
      </c>
      <c r="I116" s="92"/>
      <c r="J116" s="93"/>
    </row>
    <row r="117" spans="1:10" hidden="1">
      <c r="A117" s="94"/>
      <c r="B117" s="94"/>
      <c r="C117" s="94"/>
      <c r="D117" s="94" t="s">
        <v>42</v>
      </c>
      <c r="E117" s="94"/>
      <c r="F117" s="94"/>
      <c r="G117" s="94"/>
      <c r="H117" s="95">
        <f>SUM(H2:H116)</f>
        <v>271.5</v>
      </c>
      <c r="I117" s="95">
        <f>SUM(I2:I116)</f>
        <v>0</v>
      </c>
      <c r="J117" s="94"/>
    </row>
  </sheetData>
  <autoFilter ref="A1:J117" xr:uid="{F591B56F-9C16-43FE-9B5C-FD4AC86E6A15}">
    <filterColumn colId="6">
      <filters>
        <filter val="進行中"/>
        <filter val="未着手"/>
      </filters>
    </filterColumn>
  </autoFilter>
  <phoneticPr fontId="4"/>
  <conditionalFormatting sqref="H2:H116">
    <cfRule type="expression" dxfId="0" priority="2" stopIfTrue="1">
      <formula>OR(H2="",H2=0)</formula>
    </cfRule>
  </conditionalFormatting>
  <dataValidations count="3">
    <dataValidation type="list" allowBlank="1" showInputMessage="1" showErrorMessage="1" sqref="E2:E116" xr:uid="{64865CA2-084E-474C-B36A-D5BB1883DD30}">
      <formula1>"プロト,アルファ,ベータ,マスタ"</formula1>
    </dataValidation>
    <dataValidation type="list" allowBlank="1" showInputMessage="1" showErrorMessage="1" sqref="G2:G116" xr:uid="{B2DB8AC1-C99A-400F-B610-C6C11EC08EE3}">
      <formula1>"未着手,進行中,完了"</formula1>
    </dataValidation>
    <dataValidation type="list" allowBlank="1" showInputMessage="1" showErrorMessage="1" sqref="F2:F116" xr:uid="{4E1ABFFE-BF0C-465C-AE77-30611B33DFEA}">
      <formula1>"A,B,C"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A195-C551-4730-9B21-9C180B2B46F7}">
  <dimension ref="A1:B10"/>
  <sheetViews>
    <sheetView workbookViewId="0"/>
  </sheetViews>
  <sheetFormatPr defaultRowHeight="14.25"/>
  <cols>
    <col min="1" max="1" width="26.625" style="1" customWidth="1"/>
    <col min="2" max="2" width="14.625" style="1" customWidth="1"/>
    <col min="3" max="16384" width="9" style="1"/>
  </cols>
  <sheetData>
    <row r="1" spans="1:2" ht="19.5">
      <c r="A1" s="2" t="s">
        <v>0</v>
      </c>
    </row>
    <row r="3" spans="1:2">
      <c r="A3" s="3" t="s">
        <v>1</v>
      </c>
      <c r="B3" s="4">
        <v>46282</v>
      </c>
    </row>
    <row r="4" spans="1:2">
      <c r="A4" s="3" t="s">
        <v>2</v>
      </c>
      <c r="B4" s="4">
        <v>46386</v>
      </c>
    </row>
    <row r="5" spans="1:2">
      <c r="A5" s="3" t="s">
        <v>3</v>
      </c>
      <c r="B5" s="5">
        <v>1</v>
      </c>
    </row>
    <row r="6" spans="1:2">
      <c r="A6" s="3" t="s">
        <v>4</v>
      </c>
      <c r="B6" s="6">
        <v>8</v>
      </c>
    </row>
    <row r="7" spans="1:2">
      <c r="A7" s="3" t="s">
        <v>5</v>
      </c>
      <c r="B7" s="7">
        <f ca="1">MAX(0,B4-TODAY())</f>
        <v>62</v>
      </c>
    </row>
    <row r="8" spans="1:2">
      <c r="A8" s="3" t="s">
        <v>6</v>
      </c>
      <c r="B8" s="8">
        <f>(B4-B3+1)*B6</f>
        <v>840</v>
      </c>
    </row>
    <row r="10" spans="1:2">
      <c r="A10" s="9" t="s">
        <v>7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38DA-6C01-4DFD-980E-9C45A10CBCD9}">
  <dimension ref="A2:B22"/>
  <sheetViews>
    <sheetView workbookViewId="0">
      <selection activeCell="B23" sqref="B23"/>
    </sheetView>
  </sheetViews>
  <sheetFormatPr defaultRowHeight="18.75"/>
  <sheetData>
    <row r="2" spans="1:2">
      <c r="A2">
        <v>1022</v>
      </c>
    </row>
    <row r="3" spans="1:2">
      <c r="B3" t="s">
        <v>238</v>
      </c>
    </row>
    <row r="4" spans="1:2">
      <c r="B4" t="s">
        <v>239</v>
      </c>
    </row>
    <row r="5" spans="1:2">
      <c r="B5" t="s">
        <v>240</v>
      </c>
    </row>
    <row r="9" spans="1:2">
      <c r="A9">
        <v>1024</v>
      </c>
    </row>
    <row r="10" spans="1:2">
      <c r="B10" t="s">
        <v>248</v>
      </c>
    </row>
    <row r="11" spans="1:2">
      <c r="B11" t="s">
        <v>249</v>
      </c>
    </row>
    <row r="12" spans="1:2">
      <c r="B12" t="s">
        <v>250</v>
      </c>
    </row>
    <row r="13" spans="1:2">
      <c r="B13" t="s">
        <v>251</v>
      </c>
    </row>
    <row r="14" spans="1:2">
      <c r="B14" t="s">
        <v>252</v>
      </c>
    </row>
    <row r="15" spans="1:2">
      <c r="B15" t="s">
        <v>253</v>
      </c>
    </row>
    <row r="16" spans="1:2">
      <c r="B16" t="s">
        <v>254</v>
      </c>
    </row>
    <row r="18" spans="1:2">
      <c r="A18">
        <v>1029</v>
      </c>
    </row>
    <row r="19" spans="1:2">
      <c r="B19" t="s">
        <v>255</v>
      </c>
    </row>
    <row r="20" spans="1:2">
      <c r="B20" t="s">
        <v>256</v>
      </c>
    </row>
    <row r="21" spans="1:2">
      <c r="B21" t="s">
        <v>257</v>
      </c>
    </row>
    <row r="22" spans="1:2">
      <c r="B22" t="s">
        <v>258</v>
      </c>
    </row>
  </sheetData>
  <phoneticPr fontId="4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集計</vt:lpstr>
      <vt:lpstr>カレンダー</vt:lpstr>
      <vt:lpstr>タスク一覧</vt:lpstr>
      <vt:lpstr>設定</vt:lpstr>
      <vt:lpstr>memo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工藤　将大</dc:creator>
  <cp:lastModifiedBy>工藤　将大</cp:lastModifiedBy>
  <dcterms:created xsi:type="dcterms:W3CDTF">2026-10-18T02:13:46Z</dcterms:created>
  <dcterms:modified xsi:type="dcterms:W3CDTF">2026-10-28T15:32:04Z</dcterms:modified>
</cp:coreProperties>
</file>